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9253e25c845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9b9a43afc92431f"/>
    <x:sheet xmlns:r="http://schemas.openxmlformats.org/officeDocument/2006/relationships" name="Keyword Insights" sheetId="2" r:id="R4322f825e32b46de"/>
    <x:sheet xmlns:r="http://schemas.openxmlformats.org/officeDocument/2006/relationships" name="Blog Roadmap" sheetId="3" r:id="R621c5634efa34908"/>
    <x:sheet xmlns:r="http://schemas.openxmlformats.org/officeDocument/2006/relationships" name="SEO Briefs" sheetId="4" r:id="R2ba22b52edb6401a"/>
    <x:sheet xmlns:r="http://schemas.openxmlformats.org/officeDocument/2006/relationships" name="Internal Links" sheetId="5" r:id="R3c897e39f5944df7"/>
    <x:sheet xmlns:r="http://schemas.openxmlformats.org/officeDocument/2006/relationships" name="KPI Tracking" sheetId="6" r:id="Rc0214c01529a4f94"/>
    <x:sheet xmlns:r="http://schemas.openxmlformats.org/officeDocument/2006/relationships" name="Sources &amp; Rules" sheetId="7" r:id="R71522869d99a405f"/>
    <x:sheet xmlns:r="http://schemas.openxmlformats.org/officeDocument/2006/relationships" name="Lists" sheetId="8" r:id="Rc5ba3d9d0a664b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%"/>
    <x:numFmt numFmtId="202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9E1B1B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</x:font>
      <x:fill>
        <x:patternFill patternType="solid">
          <x:bgColor rgb="FFFCA5A5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BFDBFE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FCA5A5"/>
        </x:patternFill>
      </x:fill>
    </x:dxf>
    <x:dxf>
      <x:fill>
        <x:patternFill patternType="solid"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8f908ad2f47bb" /><Relationship Type="http://schemas.openxmlformats.org/officeDocument/2006/relationships/theme" Target="/xl/theme/theme1.xml" Id="Rf12f89ac2a5d4271" /><Relationship Type="http://schemas.openxmlformats.org/officeDocument/2006/relationships/sharedStrings" Target="/xl/sharedStrings.xml" Id="Rc46d9ec66f7340b3" /><Relationship Type="http://schemas.openxmlformats.org/officeDocument/2006/relationships/worksheet" Target="/xl/worksheets/sheet1.xml" Id="R49b9a43afc92431f" /><Relationship Type="http://schemas.openxmlformats.org/officeDocument/2006/relationships/worksheet" Target="/xl/worksheets/sheet2.xml" Id="R4322f825e32b46de" /><Relationship Type="http://schemas.openxmlformats.org/officeDocument/2006/relationships/worksheet" Target="/xl/worksheets/sheet3.xml" Id="R621c5634efa34908" /><Relationship Type="http://schemas.openxmlformats.org/officeDocument/2006/relationships/worksheet" Target="/xl/worksheets/sheet4.xml" Id="R2ba22b52edb6401a" /><Relationship Type="http://schemas.openxmlformats.org/officeDocument/2006/relationships/worksheet" Target="/xl/worksheets/sheet5.xml" Id="R3c897e39f5944df7" /><Relationship Type="http://schemas.openxmlformats.org/officeDocument/2006/relationships/worksheet" Target="/xl/worksheets/sheet6.xml" Id="Rc0214c01529a4f94" /><Relationship Type="http://schemas.openxmlformats.org/officeDocument/2006/relationships/worksheet" Target="/xl/worksheets/sheet7.xml" Id="R71522869d99a405f" /><Relationship Type="http://schemas.openxmlformats.org/officeDocument/2006/relationships/worksheet" Target="/xl/worksheets/sheet8.xml" Id="Rc5ba3d9d0a664b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c12cd3ac9b74cc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Số bài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12cd3ac9b74cc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KeywordInsightsTable" displayName="KeywordInsightsTable" ref="A1:O22" headerRowCount="1">
  <x:tableColumns count="15">
    <x:tableColumn id="1" name="Cụm"/>
    <x:tableColumn id="2" name="Query / Nhóm key"/>
    <x:tableColumn id="3" name="Click 16M"/>
    <x:tableColumn id="4" name="Hiển thị 16M"/>
    <x:tableColumn id="5" name="CTR 16M"/>
    <x:tableColumn id="6" name="Vị trí 16M"/>
    <x:tableColumn id="7" name="Click 3M"/>
    <x:tableColumn id="8" name="Hiển thị 3M"/>
    <x:tableColumn id="9" name="CTR 3M"/>
    <x:tableColumn id="10" name="Vị trí 3M"/>
    <x:tableColumn id="11" name="Pace 3M vs 16M avg"/>
    <x:tableColumn id="12" name="Nhận xét"/>
    <x:tableColumn id="13" name="Hành động SEO"/>
    <x:tableColumn id="14" name="Content cần làm"/>
    <x:tableColumn id="15" name="Ưu tiên"/>
  </x:tableColumns>
  <x:tableStyleInfo name="TableStyleMedium2" showRowStripes="1"/>
</x:table>
</file>

<file path=xl/tables/table2.xml><?xml version="1.0" encoding="utf-8"?>
<x:table xmlns:x="http://schemas.openxmlformats.org/spreadsheetml/2006/main" id="1" name="BlogRoadmapTable" displayName="BlogRoadmapTable" ref="A1:AK41" headerRowCount="1">
  <x:tableColumns count="37">
    <x:tableColumn id="1" name="ID"/>
    <x:tableColumn id="2" name="Giai đoạn"/>
    <x:tableColumn id="3" name="Tuần"/>
    <x:tableColumn id="4" name="Ngày đăng dự kiến"/>
    <x:tableColumn id="5" name="Cụm chủ đề"/>
    <x:tableColumn id="6" name="Ưu tiên"/>
    <x:tableColumn id="7" name="Search intent"/>
    <x:tableColumn id="8" name="Funnel"/>
    <x:tableColumn id="9" name="H1 / Tên bài"/>
    <x:tableColumn id="10" name="SEO Title"/>
    <x:tableColumn id="11" name="Title Len"/>
    <x:tableColumn id="12" name="Meta Description"/>
    <x:tableColumn id="13" name="Meta Len"/>
    <x:tableColumn id="14" name="Keyword chính"/>
    <x:tableColumn id="15" name="Keyword phụ"/>
    <x:tableColumn id="16" name="Tín hiệu 16 tháng"/>
    <x:tableColumn id="17" name="Tín hiệu 3 tháng"/>
    <x:tableColumn id="18" name="Lý do / Trend"/>
    <x:tableColumn id="19" name="Slug đề xuất"/>
    <x:tableColumn id="20" name="Target URL cần đẩy"/>
    <x:tableColumn id="21" name="Anchor nội bộ"/>
    <x:tableColumn id="22" name="CTA"/>
    <x:tableColumn id="23" name="Outline H2/H3"/>
    <x:tableColumn id="24" name="EEAT / Asset cần có"/>
    <x:tableColumn id="25" name="Schema"/>
    <x:tableColumn id="26" name="Word count"/>
    <x:tableColumn id="27" name="Impact 1-5"/>
    <x:tableColumn id="28" name="Conversion 1-5"/>
    <x:tableColumn id="29" name="Effort 1-5"/>
    <x:tableColumn id="30" name="Risk note"/>
    <x:tableColumn id="31" name="SEO Score"/>
    <x:tableColumn id="32" name="Status"/>
    <x:tableColumn id="33" name="Owner"/>
    <x:tableColumn id="34" name="Deadline draft"/>
    <x:tableColumn id="35" name="Deadline publish"/>
    <x:tableColumn id="36" name="KPI theo dõi"/>
    <x:tableColumn id="37" name="Ghi chú"/>
  </x:tableColumns>
  <x:tableStyleInfo name="TableStyleMedium2" showRowStripes="1"/>
</x:table>
</file>

<file path=xl/tables/table3.xml><?xml version="1.0" encoding="utf-8"?>
<x:table xmlns:x="http://schemas.openxmlformats.org/spreadsheetml/2006/main" id="3" name="SEObriefsTable" displayName="SEObriefsTable" ref="A1:D16" headerRowCount="1">
  <x:tableColumns count="4">
    <x:tableColumn id="1" name="Mục"/>
    <x:tableColumn id="2" name="Chuẩn triển khai"/>
    <x:tableColumn id="3" name="Áp dụng cho"/>
    <x:tableColumn id="4" name="Ghi chú kiểm duyệt"/>
  </x:tableColumns>
  <x:tableStyleInfo name="TableStyleMedium2" showRowStripes="1"/>
</x:table>
</file>

<file path=xl/tables/table4.xml><?xml version="1.0" encoding="utf-8"?>
<x:table xmlns:x="http://schemas.openxmlformats.org/spreadsheetml/2006/main" id="4" name="InternalLinksTable" displayName="InternalLinksTable" ref="A1:H81" headerRowCount="1">
  <x:tableColumns count="8">
    <x:tableColumn id="1" name="Source ID"/>
    <x:tableColumn id="2" name="Source bài"/>
    <x:tableColumn id="3" name="Placement"/>
    <x:tableColumn id="4" name="Anchor đề xuất"/>
    <x:tableColumn id="5" name="Target URL"/>
    <x:tableColumn id="6" name="Mục đích"/>
    <x:tableColumn id="7" name="Ưu tiên"/>
    <x:tableColumn id="8" name="Ghi chú"/>
  </x:tableColumns>
  <x:tableStyleInfo name="TableStyleMedium2" showRowStripes="1"/>
</x:table>
</file>

<file path=xl/tables/table5.xml><?xml version="1.0" encoding="utf-8"?>
<x:table xmlns:x="http://schemas.openxmlformats.org/spreadsheetml/2006/main" id="5" name="KPITrackingTable" displayName="KPITrackingTable" ref="A1:L13" headerRowCount="1">
  <x:tableColumns count="12">
    <x:tableColumn id="1" name="Tuần"/>
    <x:tableColumn id="2" name="Khoảng ngày"/>
    <x:tableColumn id="3" name="Bài planned"/>
    <x:tableColumn id="4" name="Bài đã đăng"/>
    <x:tableColumn id="5" name="Cụm trọng tâm"/>
    <x:tableColumn id="6" name="GSC clicks sau 14-28 ngày"/>
    <x:tableColumn id="7" name="GSC impressions"/>
    <x:tableColumn id="8" name="CTR"/>
    <x:tableColumn id="9" name="Vị trí TB"/>
    <x:tableColumn id="10" name="Key/URL thắng"/>
    <x:tableColumn id="11" name="Vấn đề"/>
    <x:tableColumn id="12" name="Hành động tiếp theo"/>
  </x:tableColumns>
  <x:tableStyleInfo name="TableStyleMedium2" showRowStripes="1"/>
</x:table>
</file>

<file path=xl/tables/table6.xml><?xml version="1.0" encoding="utf-8"?>
<x:table xmlns:x="http://schemas.openxmlformats.org/spreadsheetml/2006/main" id="6" name="SourcesRulesTable" displayName="SourcesRulesTable" ref="A1:C9" headerRowCount="1">
  <x:tableColumns count="3">
    <x:tableColumn id="1" name="Loại"/>
    <x:tableColumn id="2" name="Thông tin"/>
    <x:tableColumn id="3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2b60201bc64f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6414d2e79e46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9601e241024b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8a2b09666d40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a2638cebfa48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5764da72b34c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9f3a30707c4ee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12" hidden="0" customWidth="1"/>
    <x:col min="8" max="8" width="42" hidden="0" customWidth="1"/>
  </x:cols>
  <x:sheetData>
    <x:row r="1">
      <x:c r="A1" s="38" t="str">
        <x:v>KẾ HOẠCH BLOG SEO SINTECH - DỰA TRÊN GSC 16 THÁNG + 3 THÁNG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27" t="str">
        <x:v>Ngày tạo</x:v>
      </x:c>
      <x:c r="B3" s="30" t="n">
        <x:v>46189</x:v>
      </x:c>
      <x:c r="C3" s="12"/>
      <x:c r="D3" s="6" t="str">
        <x:v>Cụm chủ đề</x:v>
      </x:c>
      <x:c r="E3" s="6" t="str">
        <x:v>Số bài</x:v>
      </x:c>
      <x:c r="F3" s="6" t="str">
        <x:v>A1/A2</x:v>
      </x:c>
      <x:c r="G3" s="6" t="str">
        <x:v>Mục tiêu chính</x:v>
      </x:c>
      <x:c r="H3" s="12"/>
    </x:row>
    <x:row r="4">
      <x:c r="A4" s="27" t="str">
        <x:v>Tổng bài trong roadmap</x:v>
      </x:c>
      <x:c r="B4" s="31" t="n">
        <x:f>COUNTA('Blog Roadmap'!A2:A41)</x:f>
        <x:v>40</x:v>
      </x:c>
      <x:c r="C4" s="12"/>
      <x:c r="D4" s="12" t="str">
        <x:v>Build PC</x:v>
      </x:c>
      <x:c r="E4" s="12" t="n">
        <x:f>COUNTIF('Blog Roadmap'!E:E,D4)</x:f>
        <x:v>12</x:v>
      </x:c>
      <x:c r="F4" s="12" t="n">
        <x:f>COUNTIFS('Blog Roadmap'!E:E,D4,'Blog Roadmap'!F:F,"A1")+COUNTIFS('Blog Roadmap'!E:E,D4,'Blog Roadmap'!F:F,"A2")</x:f>
        <x:v>10</x:v>
      </x:c>
      <x:c r="G4" s="12" t="str">
        <x:v>Giữ top build pc online, đẩy build pc/xây dựng cấu hình</x:v>
      </x:c>
      <x:c r="H4" s="12"/>
    </x:row>
    <x:row r="5">
      <x:c r="A5" s="27" t="str">
        <x:v>Bài ưu tiên A1</x:v>
      </x:c>
      <x:c r="B5" s="31" t="n">
        <x:f>COUNTIF('Blog Roadmap'!F2:F41,"A1")</x:f>
        <x:v>11</x:v>
      </x:c>
      <x:c r="C5" s="12"/>
      <x:c r="D5" s="12" t="str">
        <x:v>Linh kiện cũ</x:v>
      </x:c>
      <x:c r="E5" s="12" t="n">
        <x:f>COUNTIF('Blog Roadmap'!E:E,D5)</x:f>
        <x:v>10</x:v>
      </x:c>
      <x:c r="F5" s="12" t="n">
        <x:f>COUNTIFS('Blog Roadmap'!E:E,D5,'Blog Roadmap'!F:F,"A1")+COUNTIFS('Blog Roadmap'!E:E,D5,'Blog Roadmap'!F:F,"A2")</x:f>
        <x:v>7</x:v>
      </x:c>
      <x:c r="G5" s="12" t="str">
        <x:v>Tạo traffic có ý định mua SSD/VGA/CPU cũ</x:v>
      </x:c>
      <x:c r="H5" s="12"/>
    </x:row>
    <x:row r="6">
      <x:c r="A6" s="27" t="str">
        <x:v>Bài ưu tiên A2</x:v>
      </x:c>
      <x:c r="B6" s="31" t="n">
        <x:f>COUNTIF('Blog Roadmap'!F2:F41,"A2")</x:f>
        <x:v>15</x:v>
      </x:c>
      <x:c r="C6" s="12"/>
      <x:c r="D6" s="12" t="str">
        <x:v>Phần mềm bản quyền</x:v>
      </x:c>
      <x:c r="E6" s="12" t="n">
        <x:f>COUNTIF('Blog Roadmap'!E:E,D6)</x:f>
        <x:v>8</x:v>
      </x:c>
      <x:c r="F6" s="12" t="n">
        <x:f>COUNTIFS('Blog Roadmap'!E:E,D6,'Blog Roadmap'!F:F,"A1")+COUNTIFS('Blog Roadmap'!E:E,D6,'Blog Roadmap'!F:F,"A2")</x:f>
        <x:v>5</x:v>
      </x:c>
      <x:c r="G6" s="12" t="str">
        <x:v>Chuyển traffic crack sang bản quyền, không hướng dẫn lậu</x:v>
      </x:c>
      <x:c r="H6" s="12"/>
    </x:row>
    <x:row r="7">
      <x:c r="A7" s="27" t="str">
        <x:v>Tổng word count dự kiến</x:v>
      </x:c>
      <x:c r="B7" s="31" t="n">
        <x:f>SUM('Blog Roadmap'!Z2:Z41)</x:f>
        <x:v>72900</x:v>
      </x:c>
      <x:c r="C7" s="12"/>
      <x:c r="D7" s="12" t="str">
        <x:v>Dịch vụ Quận 7</x:v>
      </x:c>
      <x:c r="E7" s="12" t="n">
        <x:f>COUNTIF('Blog Roadmap'!E:E,D7)</x:f>
        <x:v>6</x:v>
      </x:c>
      <x:c r="F7" s="12" t="n">
        <x:f>COUNTIFS('Blog Roadmap'!E:E,D7,'Blog Roadmap'!F:F,"A1")+COUNTIFS('Blog Roadmap'!E:E,D7,'Blog Roadmap'!F:F,"A2")</x:f>
        <x:v>4</x:v>
      </x:c>
      <x:c r="G7" s="12" t="str">
        <x:v>Local SEO ra khách sửa/vệ sinh/cài đặt</x:v>
      </x:c>
      <x:c r="H7" s="12"/>
    </x:row>
    <x:row r="8">
      <x:c r="A8" s="27" t="str">
        <x:v>Điểm SEO trung bình</x:v>
      </x:c>
      <x:c r="B8" s="31" t="n">
        <x:f>ROUND(AVERAGE('Blog Roadmap'!AE2:AE41),1)</x:f>
        <x:v>81.4</x:v>
      </x:c>
      <x:c r="C8" s="12"/>
      <x:c r="D8" s="12" t="str">
        <x:v>Kỹ thuật/Gaming hỗ trợ</x:v>
      </x:c>
      <x:c r="E8" s="12" t="n">
        <x:f>COUNTIF('Blog Roadmap'!E:E,D8)</x:f>
        <x:v>4</x:v>
      </x:c>
      <x:c r="F8" s="12" t="n">
        <x:f>COUNTIFS('Blog Roadmap'!E:E,D8,'Blog Roadmap'!F:F,"A1")+COUNTIFS('Blog Roadmap'!E:E,D8,'Blog Roadmap'!F:F,"A2")</x:f>
        <x:v>0</x:v>
      </x:c>
      <x:c r="G8" s="12" t="str">
        <x:v>Hút traffic phụ và đẩy về Build PC/dịch vụ</x:v>
      </x:c>
      <x:c r="H8" s="12"/>
    </x:row>
    <x:row r="9">
      <x:c r="A9" s="27" t="str">
        <x:v>Số cụm chủ đề</x:v>
      </x:c>
      <x:c r="B9" s="31" t="n">
        <x:f>COUNTA(UNIQUE('Blog Roadmap'!E2:E100))</x:f>
        <x:v>5</x:v>
      </x:c>
      <x:c r="C9" s="12"/>
      <x:c r="D9" s="12"/>
      <x:c r="E9" s="12"/>
      <x:c r="F9" s="12"/>
      <x:c r="G9" s="12"/>
      <x:c r="H9" s="12"/>
    </x:row>
    <x:row r="10">
      <x:c r="A10" s="27" t="str">
        <x:v>Quy tắc chiến lược</x:v>
      </x:c>
      <x:c r="B10" s="31" t="str">
        <x:v>Build PC + linh kiện cũ + dịch vụ local; phần mềm crack chỉ chuyển hướng sang bản quyền</x:v>
      </x:c>
      <x:c r="C10" s="12"/>
      <x:c r="D10" s="12"/>
      <x:c r="E10" s="12"/>
      <x:c r="F10" s="12"/>
      <x:c r="G10" s="12"/>
      <x:c r="H10" s="12"/>
    </x:row>
    <x:row r="11">
      <x:c r="A11" s="12"/>
      <x:c r="B11" s="12"/>
      <x:c r="C11" s="12"/>
      <x:c r="D11" s="12"/>
      <x:c r="E11" s="12"/>
      <x:c r="F11" s="12"/>
      <x:c r="G11" s="12"/>
      <x:c r="H11" s="12"/>
    </x:row>
    <x:row r="12">
      <x:c r="A12" s="12"/>
      <x:c r="B12" s="12"/>
      <x:c r="C12" s="12"/>
      <x:c r="D12" s="12"/>
      <x:c r="E12" s="12"/>
      <x:c r="F12" s="12"/>
      <x:c r="G12" s="12"/>
      <x:c r="H12" s="12"/>
    </x:row>
    <x:row r="13">
      <x:c r="A13" s="6" t="str">
        <x:v>Key trọng điểm</x:v>
      </x:c>
      <x:c r="B13" s="6" t="str">
        <x:v>16M Click</x:v>
      </x:c>
      <x:c r="C13" s="6" t="str">
        <x:v>16M Hiển thị</x:v>
      </x:c>
      <x:c r="D13" s="6" t="str">
        <x:v>16M Vị trí</x:v>
      </x:c>
      <x:c r="E13" s="6" t="str">
        <x:v>3M Click</x:v>
      </x:c>
      <x:c r="F13" s="6" t="str">
        <x:v>3M Hiển thị</x:v>
      </x:c>
      <x:c r="G13" s="6" t="str">
        <x:v>3M Vị trí</x:v>
      </x:c>
      <x:c r="H13" s="6" t="str">
        <x:v>Ý nghĩa</x:v>
      </x:c>
    </x:row>
    <x:row r="14">
      <x:c r="A14" s="12" t="str">
        <x:v>build pc online</x:v>
      </x:c>
      <x:c r="B14" s="12" t="n">
        <x:v>3789</x:v>
      </x:c>
      <x:c r="C14" s="12" t="n">
        <x:v>15324</x:v>
      </x:c>
      <x:c r="D14" s="12" t="n">
        <x:v>2.5</x:v>
      </x:c>
      <x:c r="E14" s="12" t="n">
        <x:v>896</x:v>
      </x:c>
      <x:c r="F14" s="12" t="n">
        <x:v>3871</x:v>
      </x:c>
      <x:c r="G14" s="12" t="n">
        <x:v>2.6</x:v>
      </x:c>
      <x:c r="H14" s="12" t="str">
        <x:v>Trụ cột cần bảo vệ</x:v>
      </x:c>
    </x:row>
    <x:row r="15">
      <x:c r="A15" s="12" t="str">
        <x:v>build pc</x:v>
      </x:c>
      <x:c r="B15" s="12" t="n">
        <x:v>544</x:v>
      </x:c>
      <x:c r="C15" s="12" t="n">
        <x:v>36956</x:v>
      </x:c>
      <x:c r="D15" s="12" t="n">
        <x:v>10</x:v>
      </x:c>
      <x:c r="E15" s="12" t="n">
        <x:v>152</x:v>
      </x:c>
      <x:c r="F15" s="12" t="n">
        <x:v>5320</x:v>
      </x:c>
      <x:c r="G15" s="12" t="n">
        <x:v>11.5</x:v>
      </x:c>
      <x:c r="H15" s="12" t="str">
        <x:v>Impression cao, cần đẩy top</x:v>
      </x:c>
    </x:row>
    <x:row r="16">
      <x:c r="A16" s="12" t="str">
        <x:v>ssd cũ</x:v>
      </x:c>
      <x:c r="B16" s="12" t="n">
        <x:v>166</x:v>
      </x:c>
      <x:c r="C16" s="12" t="n">
        <x:v>1650</x:v>
      </x:c>
      <x:c r="D16" s="12" t="n">
        <x:v>8.2</x:v>
      </x:c>
      <x:c r="E16" s="12" t="n">
        <x:v>69</x:v>
      </x:c>
      <x:c r="F16" s="12" t="n">
        <x:v>519</x:v>
      </x:c>
      <x:c r="G16" s="12" t="n">
        <x:v>6.6</x:v>
      </x:c>
      <x:c r="H16" s="12" t="str">
        <x:v>Đang tăng, ưu tiên ra đơn</x:v>
      </x:c>
    </x:row>
    <x:row r="17">
      <x:c r="A17" s="12" t="str">
        <x:v>rtx 4060 cũ</x:v>
      </x:c>
      <x:c r="B17" s="12" t="n">
        <x:v>106</x:v>
      </x:c>
      <x:c r="C17" s="12" t="n">
        <x:v>1541</x:v>
      </x:c>
      <x:c r="D17" s="12" t="n">
        <x:v>5.5</x:v>
      </x:c>
      <x:c r="E17" s="12" t="n">
        <x:v>27</x:v>
      </x:c>
      <x:c r="F17" s="12" t="n">
        <x:v>271</x:v>
      </x:c>
      <x:c r="G17" s="12" t="n">
        <x:v>4.4</x:v>
      </x:c>
      <x:c r="H17" s="12" t="str">
        <x:v>Intent mua rõ</x:v>
      </x:c>
    </x:row>
    <x:row r="18">
      <x:c r="A18" s="12" t="str">
        <x:v>office 2021</x:v>
      </x:c>
      <x:c r="B18" s="12" t="n">
        <x:v>136</x:v>
      </x:c>
      <x:c r="C18" s="12" t="n">
        <x:v>4076</x:v>
      </x:c>
      <x:c r="D18" s="12" t="n">
        <x:v>9.2</x:v>
      </x:c>
      <x:c r="E18" s="12" t="n">
        <x:v>123</x:v>
      </x:c>
      <x:c r="F18" s="12" t="n">
        <x:v>3249</x:v>
      </x:c>
      <x:c r="G18" s="12" t="n">
        <x:v>6.5</x:v>
      </x:c>
      <x:c r="H18" s="12" t="str">
        <x:v>Đang tăng mạnh, nên viết bài bản quyền</x:v>
      </x:c>
    </x:row>
    <x:row r="19">
      <x:c r="A19" s="12" t="str">
        <x:v>sửa máy tính quận 7</x:v>
      </x:c>
      <x:c r="B19" s="12" t="n">
        <x:v>92</x:v>
      </x:c>
      <x:c r="C19" s="12" t="n">
        <x:v>5014</x:v>
      </x:c>
      <x:c r="D19" s="12" t="n">
        <x:v>13.1</x:v>
      </x:c>
      <x:c r="E19" s="12" t="n">
        <x:v>4</x:v>
      </x:c>
      <x:c r="F19" s="12" t="n">
        <x:v>529</x:v>
      </x:c>
      <x:c r="G19" s="12" t="n">
        <x:v>16.1</x:v>
      </x:c>
      <x:c r="H19" s="12" t="str">
        <x:v>Local SEO cần cứu</x:v>
      </x:c>
    </x:row>
    <x:row r="20">
      <x:c r="A20" s="12"/>
      <x:c r="B20" s="12"/>
      <x:c r="C20" s="12"/>
      <x:c r="D20" s="12"/>
      <x:c r="E20" s="12"/>
      <x:c r="F20" s="12"/>
      <x:c r="G20" s="12"/>
      <x:c r="H20" s="12"/>
    </x:row>
    <x:row r="21" ht="44" customHeight="1">
      <x:c r="A21" s="42" t="str">
        <x:v>Việc nên làm ngay</x:v>
      </x:c>
      <x:c r="B21" s="44" t="str">
        <x:v>1. Sửa/ổn định trang Build PC; 2. Viết 3 bài Build PC đầu tiên; 3. Làm SSD cũ + RTX 4060 cũ; 4. Viết Office bản quyền khác crack; 5. Tạo bài local Quận 7</x:v>
      </x:c>
      <x:c r="C21" s="44" t="str"/>
      <x:c r="D21" s="44" t="str"/>
      <x:c r="E21" s="44" t="str"/>
      <x:c r="F21" s="44" t="str"/>
      <x:c r="G21" s="44" t="str"/>
      <x:c r="H21" s="44" t="str"/>
    </x:row>
    <x:row r="22" ht="44" customHeight="1">
      <x:c r="A22" s="42" t="str">
        <x:v>Việc không nên làm</x:v>
      </x:c>
      <x:c r="B22" s="44" t="str">
        <x:v>Không viết hướng dẫn crack/active lậu; không đổi URL Build PC; không nuôi key phim/f68 ngoài ngành; không request index liên tục.</x:v>
      </x:c>
      <x:c r="C22" s="44" t="str"/>
      <x:c r="D22" s="44" t="str"/>
      <x:c r="E22" s="44" t="str"/>
      <x:c r="F22" s="44" t="str"/>
      <x:c r="G22" s="44" t="str"/>
      <x:c r="H22" s="44" t="str"/>
    </x:row>
    <x:row r="23" ht="44" customHeight="1">
      <x:c r="A23" s="42" t="str">
        <x:v>KPI 90 ngày</x:v>
      </x:c>
      <x:c r="B23" s="44" t="str">
        <x:v>Build PC: giữ top 1-3; build pc: lên top 8-10; SSD/RTX cũ: tăng click; Local Q7: cải thiện vị trí về top 10-12.</x:v>
      </x:c>
      <x:c r="C23" s="44" t="str"/>
      <x:c r="D23" s="44" t="str"/>
      <x:c r="E23" s="44" t="str"/>
      <x:c r="F23" s="44" t="str"/>
      <x:c r="G23" s="44" t="str"/>
      <x:c r="H23" s="44" t="str"/>
    </x:row>
    <x:row r="24" ht="44" customHeight="1">
      <x:c r="A24" s="42" t="str">
        <x:v>Internal link bắt buộc</x:v>
      </x:c>
      <x:c r="B24" s="44" t="str">
        <x:v>Mỗi bài Build PC link 2 lần về /pages/xay-dung-cau-hinh; mỗi bài linh kiện link collection; phần mềm link /collections/phan-mem-ban-quyen.</x:v>
      </x:c>
      <x:c r="C24" s="44" t="str"/>
      <x:c r="D24" s="44" t="str"/>
      <x:c r="E24" s="44" t="str"/>
      <x:c r="F24" s="44" t="str"/>
      <x:c r="G24" s="44" t="str"/>
      <x:c r="H24" s="44" t="str"/>
    </x:row>
    <x:row r="25" ht="44" customHeight="1">
      <x:c r="A25" s="42" t="str">
        <x:v>Kiểm soát rủi ro</x:v>
      </x:c>
      <x:c r="B25" s="44" t="str">
        <x:v>Bài phần mềm chỉ phân tích rủi ro và giải pháp hợp lệ, không chứa link tải crack, key crack, hướng dẫn active hoặc file cấm.</x:v>
      </x:c>
      <x:c r="C25" s="44" t="str"/>
      <x:c r="D25" s="44" t="str"/>
      <x:c r="E25" s="44" t="str"/>
      <x:c r="F25" s="44" t="str"/>
      <x:c r="G25" s="44" t="str"/>
      <x:c r="H25" s="44" t="str"/>
    </x:row>
    <x:row r="26" ht="44" customHeight="1">
      <x:c r="A26" s="42" t="str">
        <x:v>Theo dõi</x:v>
      </x:c>
      <x:c r="B26" s="44" t="str">
        <x:v>GSC theo URL + query sau 14, 28, 60 ngày; đo click, impression, CTR, position và URL nhận traffic.</x:v>
      </x:c>
      <x:c r="C26" s="44" t="str"/>
      <x:c r="D26" s="44" t="str"/>
      <x:c r="E26" s="44" t="str"/>
      <x:c r="F26" s="44" t="str"/>
      <x:c r="G26" s="44" t="str"/>
      <x:c r="H26" s="44" t="str"/>
    </x:row>
  </x:sheetData>
  <x:mergeCells>
    <x:mergeCell ref="A1:H1"/>
    <x:mergeCell ref="B21:H21"/>
    <x:mergeCell ref="B22:H22"/>
    <x:mergeCell ref="B23:H23"/>
    <x:mergeCell ref="B24:H24"/>
    <x:mergeCell ref="B25:H25"/>
    <x:mergeCell ref="B26:H26"/>
  </x:mergeCells>
  <x:pageMargins left="0.7" right="0.7" top="0.75" bottom="0.75" header="0.3" footer="0.3"/>
  <x:drawing xmlns:r="http://schemas.openxmlformats.org/officeDocument/2006/relationships" r:id="R3d2b60201bc64fe7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14" hidden="0" customWidth="1"/>
    <x:col min="5" max="5" width="10" hidden="0" customWidth="1"/>
    <x:col min="6" max="6" width="10" hidden="0" customWidth="1"/>
    <x:col min="7" max="7" width="12" hidden="0" customWidth="1"/>
    <x:col min="8" max="8" width="14" hidden="0" customWidth="1"/>
    <x:col min="9" max="9" width="10" hidden="0" customWidth="1"/>
    <x:col min="10" max="10" width="10" hidden="0" customWidth="1"/>
    <x:col min="11" max="11" width="16" hidden="0" customWidth="1"/>
    <x:col min="12" max="12" width="42" hidden="0" customWidth="1"/>
    <x:col min="13" max="13" width="42" hidden="0" customWidth="1"/>
    <x:col min="14" max="14" width="38" hidden="0" customWidth="1"/>
    <x:col min="15" max="15" width="10" hidden="0" customWidth="1"/>
  </x:cols>
  <x:sheetData>
    <x:row r="1">
      <x:c r="A1" s="6" t="str">
        <x:v>Cụm</x:v>
      </x:c>
      <x:c r="B1" s="6" t="str">
        <x:v>Query / Nhóm key</x:v>
      </x:c>
      <x:c r="C1" s="6" t="str">
        <x:v>Click 16M</x:v>
      </x:c>
      <x:c r="D1" s="6" t="str">
        <x:v>Hiển thị 16M</x:v>
      </x:c>
      <x:c r="E1" s="6" t="str">
        <x:v>CTR 16M</x:v>
      </x:c>
      <x:c r="F1" s="6" t="str">
        <x:v>Vị trí 16M</x:v>
      </x:c>
      <x:c r="G1" s="6" t="str">
        <x:v>Click 3M</x:v>
      </x:c>
      <x:c r="H1" s="6" t="str">
        <x:v>Hiển thị 3M</x:v>
      </x:c>
      <x:c r="I1" s="6" t="str">
        <x:v>CTR 3M</x:v>
      </x:c>
      <x:c r="J1" s="6" t="str">
        <x:v>Vị trí 3M</x:v>
      </x:c>
      <x:c r="K1" s="6" t="str">
        <x:v>Pace 3M vs 16M avg</x:v>
      </x:c>
      <x:c r="L1" s="6" t="str">
        <x:v>Nhận xét</x:v>
      </x:c>
      <x:c r="M1" s="6" t="str">
        <x:v>Hành động SEO</x:v>
      </x:c>
      <x:c r="N1" s="6" t="str">
        <x:v>Content cần làm</x:v>
      </x:c>
      <x:c r="O1" s="6" t="str">
        <x:v>Ưu tiên</x:v>
      </x:c>
    </x:row>
    <x:row r="2">
      <x:c r="A2" s="12" t="str">
        <x:v>Build PC</x:v>
      </x:c>
      <x:c r="B2" s="12" t="str">
        <x:v>build pc online</x:v>
      </x:c>
      <x:c r="C2" s="12" t="n">
        <x:v>3789</x:v>
      </x:c>
      <x:c r="D2" s="12" t="n">
        <x:v>15324</x:v>
      </x:c>
      <x:c r="E2" s="16" t="n">
        <x:v>0.247</x:v>
      </x:c>
      <x:c r="F2" s="12" t="n">
        <x:v>2.5</x:v>
      </x:c>
      <x:c r="G2" s="12" t="n">
        <x:v>896</x:v>
      </x:c>
      <x:c r="H2" s="12" t="n">
        <x:v>3871</x:v>
      </x:c>
      <x:c r="I2" s="16" t="n">
        <x:v>0.231</x:v>
      </x:c>
      <x:c r="J2" s="12" t="n">
        <x:v>2.6</x:v>
      </x:c>
      <x:c r="K2" s="18" t="n">
        <x:f>IF(C2=0,"",ROUND((G2/3)/(C2/16)-1,2))</x:f>
        <x:v>0.26</x:v>
      </x:c>
      <x:c r="L2" s="12" t="str">
        <x:v>Key trụ cột ổn định, đang top cao.</x:v>
      </x:c>
      <x:c r="M2" s="12" t="str">
        <x:v>Bảo vệ top, không đổi URL/title liên tục; viết bài vệ tinh.</x:v>
      </x:c>
      <x:c r="N2" s="12" t="str">
        <x:v>/pages/xay-dung-cau-hinh + bài Build PC Online là gì</x:v>
      </x:c>
      <x:c r="O2" s="12" t="str">
        <x:v>A1</x:v>
      </x:c>
    </x:row>
    <x:row r="3">
      <x:c r="A3" s="12" t="str">
        <x:v>Build PC</x:v>
      </x:c>
      <x:c r="B3" s="12" t="str">
        <x:v>build pc</x:v>
      </x:c>
      <x:c r="C3" s="12" t="n">
        <x:v>544</x:v>
      </x:c>
      <x:c r="D3" s="12" t="n">
        <x:v>36956</x:v>
      </x:c>
      <x:c r="E3" s="16" t="n">
        <x:v>0.015</x:v>
      </x:c>
      <x:c r="F3" s="12" t="n">
        <x:v>10</x:v>
      </x:c>
      <x:c r="G3" s="12" t="n">
        <x:v>152</x:v>
      </x:c>
      <x:c r="H3" s="12" t="n">
        <x:v>5320</x:v>
      </x:c>
      <x:c r="I3" s="16" t="n">
        <x:v>0.029</x:v>
      </x:c>
      <x:c r="J3" s="12" t="n">
        <x:v>11.5</x:v>
      </x:c>
      <x:c r="K3" s="18" t="n">
        <x:f>IF(C3=0,"",ROUND((G3/3)/(C3/16)-1,2))</x:f>
        <x:v>0.49</x:v>
      </x:c>
      <x:c r="L3" s="12" t="str">
        <x:v>Impression rất cao nhưng chưa ăn top tốt.</x:v>
      </x:c>
      <x:c r="M3" s="12" t="str">
        <x:v>Đẩy bằng cụm bài hướng dẫn/ngân sách/internal link.</x:v>
      </x:c>
      <x:c r="N3" s="12" t="str">
        <x:v>Hướng dẫn xây dựng cấu hình PC + bài ngân sách</x:v>
      </x:c>
      <x:c r="O3" s="12" t="str">
        <x:v>A1</x:v>
      </x:c>
    </x:row>
    <x:row r="4">
      <x:c r="A4" s="12" t="str">
        <x:v>Build PC</x:v>
      </x:c>
      <x:c r="B4" s="12" t="str">
        <x:v>xây dựng cấu hình pc</x:v>
      </x:c>
      <x:c r="C4" s="12" t="n">
        <x:v>51</x:v>
      </x:c>
      <x:c r="D4" s="12" t="n">
        <x:v>2596</x:v>
      </x:c>
      <x:c r="E4" s="16" t="n">
        <x:v>0.02</x:v>
      </x:c>
      <x:c r="F4" s="12" t="n">
        <x:v>9.4</x:v>
      </x:c>
      <x:c r="G4" s="12" t="n">
        <x:v>16</x:v>
      </x:c>
      <x:c r="H4" s="12" t="n">
        <x:v>936</x:v>
      </x:c>
      <x:c r="I4" s="16" t="n">
        <x:v>0.017</x:v>
      </x:c>
      <x:c r="J4" s="12" t="n">
        <x:v>9.5</x:v>
      </x:c>
      <x:c r="K4" s="18" t="n">
        <x:f>IF(C4=0,"",ROUND((G4/3)/(C4/16)-1,2))</x:f>
        <x:v>0.67</x:v>
      </x:c>
      <x:c r="L4" s="12" t="str">
        <x:v>Có cơ hội lên top 5 nếu tối ưu intent.</x:v>
      </x:c>
      <x:c r="M4" s="12" t="str">
        <x:v>Viết bài riêng, link mạnh về tool.</x:v>
      </x:c>
      <x:c r="N4" s="12" t="str">
        <x:v>Hướng Dẫn Xây Dựng Cấu Hình PC</x:v>
      </x:c>
      <x:c r="O4" s="12" t="str">
        <x:v>A1</x:v>
      </x:c>
    </x:row>
    <x:row r="5">
      <x:c r="A5" s="12" t="str">
        <x:v>Build PC</x:v>
      </x:c>
      <x:c r="B5" s="12" t="str">
        <x:v>web build pc / build pc web</x:v>
      </x:c>
      <x:c r="C5" s="12" t="n">
        <x:v>33</x:v>
      </x:c>
      <x:c r="D5" s="12" t="n">
        <x:v>1648</x:v>
      </x:c>
      <x:c r="E5" s="16" t="n">
        <x:v>0.02</x:v>
      </x:c>
      <x:c r="F5" s="12" t="n">
        <x:v>7.6</x:v>
      </x:c>
      <x:c r="G5" s="12" t="n">
        <x:v>4</x:v>
      </x:c>
      <x:c r="H5" s="12" t="n">
        <x:v>489</x:v>
      </x:c>
      <x:c r="I5" s="16" t="n">
        <x:v>0.008</x:v>
      </x:c>
      <x:c r="J5" s="12" t="n">
        <x:v>7.1</x:v>
      </x:c>
      <x:c r="K5" s="18" t="n">
        <x:f>IF(C5=0,"",ROUND((G5/3)/(C5/16)-1,2))</x:f>
        <x:v>-0.35</x:v>
      </x:c>
      <x:c r="L5" s="12" t="str">
        <x:v>Đã trang 1 nhưng CTR thấp.</x:v>
      </x:c>
      <x:c r="M5" s="12" t="str">
        <x:v>Tối ưu title/meta của bài/tool với cụm web build PC.</x:v>
      </x:c>
      <x:c r="N5" s="12" t="str">
        <x:v>Build PC Online là gì</x:v>
      </x:c>
      <x:c r="O5" s="12" t="str">
        <x:v>A2</x:v>
      </x:c>
    </x:row>
    <x:row r="6">
      <x:c r="A6" s="12" t="str">
        <x:v>Linh kiện cũ</x:v>
      </x:c>
      <x:c r="B6" s="12" t="str">
        <x:v>ssd cũ</x:v>
      </x:c>
      <x:c r="C6" s="12" t="n">
        <x:v>166</x:v>
      </x:c>
      <x:c r="D6" s="12" t="n">
        <x:v>1650</x:v>
      </x:c>
      <x:c r="E6" s="16" t="n">
        <x:v>0.101</x:v>
      </x:c>
      <x:c r="F6" s="12" t="n">
        <x:v>8.2</x:v>
      </x:c>
      <x:c r="G6" s="12" t="n">
        <x:v>69</x:v>
      </x:c>
      <x:c r="H6" s="12" t="n">
        <x:v>519</x:v>
      </x:c>
      <x:c r="I6" s="16" t="n">
        <x:v>0.133</x:v>
      </x:c>
      <x:c r="J6" s="12" t="n">
        <x:v>6.6</x:v>
      </x:c>
      <x:c r="K6" s="18" t="n">
        <x:f>IF(C6=0,"",ROUND((G6/3)/(C6/16)-1,2))</x:f>
        <x:v>1.22</x:v>
      </x:c>
      <x:c r="L6" s="12" t="str">
        <x:v>Đang tăng rõ trong 3 tháng, CTR tốt.</x:v>
      </x:c>
      <x:c r="M6" s="12" t="str">
        <x:v>Làm bài + collection/landing SSD cũ.</x:v>
      </x:c>
      <x:c r="N6" s="12" t="str">
        <x:v>Có nên mua SSD cũ không?</x:v>
      </x:c>
      <x:c r="O6" s="12" t="str">
        <x:v>A1</x:v>
      </x:c>
    </x:row>
    <x:row r="7">
      <x:c r="A7" s="12" t="str">
        <x:v>Linh kiện cũ</x:v>
      </x:c>
      <x:c r="B7" s="12" t="str">
        <x:v>rtx 4060 cũ</x:v>
      </x:c>
      <x:c r="C7" s="12" t="n">
        <x:v>106</x:v>
      </x:c>
      <x:c r="D7" s="12" t="n">
        <x:v>1541</x:v>
      </x:c>
      <x:c r="E7" s="16" t="n">
        <x:v>0.069</x:v>
      </x:c>
      <x:c r="F7" s="12" t="n">
        <x:v>5.5</x:v>
      </x:c>
      <x:c r="G7" s="12" t="n">
        <x:v>27</x:v>
      </x:c>
      <x:c r="H7" s="12" t="n">
        <x:v>271</x:v>
      </x:c>
      <x:c r="I7" s="16" t="n">
        <x:v>0.1</x:v>
      </x:c>
      <x:c r="J7" s="12" t="n">
        <x:v>4.4</x:v>
      </x:c>
      <x:c r="K7" s="18" t="n">
        <x:f>IF(C7=0,"",ROUND((G7/3)/(C7/16)-1,2))</x:f>
        <x:v>0.36</x:v>
      </x:c>
      <x:c r="L7" s="12" t="str">
        <x:v>Vị trí tốt, intent mua rõ.</x:v>
      </x:c>
      <x:c r="M7" s="12" t="str">
        <x:v>Viết bài BOFU, link về VGA cũ.</x:v>
      </x:c>
      <x:c r="N7" s="12" t="str">
        <x:v>RTX 4060 cũ có đáng mua?</x:v>
      </x:c>
      <x:c r="O7" s="12" t="str">
        <x:v>A1</x:v>
      </x:c>
    </x:row>
    <x:row r="8">
      <x:c r="A8" s="12" t="str">
        <x:v>Linh kiện cũ</x:v>
      </x:c>
      <x:c r="B8" s="12" t="str">
        <x:v>rtx 3060 cũ</x:v>
      </x:c>
      <x:c r="C8" s="12" t="n">
        <x:v>42</x:v>
      </x:c>
      <x:c r="D8" s="12" t="n">
        <x:v>1822</x:v>
      </x:c>
      <x:c r="E8" s="16" t="n">
        <x:v>0.023</x:v>
      </x:c>
      <x:c r="F8" s="12" t="n">
        <x:v>9.3</x:v>
      </x:c>
      <x:c r="G8" s="12" t="n">
        <x:v>16</x:v>
      </x:c>
      <x:c r="H8" s="12" t="n">
        <x:v>448</x:v>
      </x:c>
      <x:c r="I8" s="16" t="n">
        <x:v>0.036</x:v>
      </x:c>
      <x:c r="J8" s="12" t="n">
        <x:v>6.8</x:v>
      </x:c>
      <x:c r="K8" s="18" t="n">
        <x:f>IF(C8=0,"",ROUND((G8/3)/(C8/16)-1,2))</x:f>
        <x:v>1.03</x:v>
      </x:c>
      <x:c r="L8" s="12" t="str">
        <x:v>Cải thiện vị trí gần đây.</x:v>
      </x:c>
      <x:c r="M8" s="12" t="str">
        <x:v>Viết bài so sánh 8GB/12GB/4060.</x:v>
      </x:c>
      <x:c r="N8" s="12" t="str">
        <x:v>RTX 3060 cũ có đáng mua?</x:v>
      </x:c>
      <x:c r="O8" s="12" t="str">
        <x:v>A1</x:v>
      </x:c>
    </x:row>
    <x:row r="9">
      <x:c r="A9" s="12" t="str">
        <x:v>Linh kiện cũ</x:v>
      </x:c>
      <x:c r="B9" s="12" t="str">
        <x:v>rtx 4070 cũ</x:v>
      </x:c>
      <x:c r="C9" s="12" t="n">
        <x:v>186</x:v>
      </x:c>
      <x:c r="D9" s="12" t="n">
        <x:v>3204</x:v>
      </x:c>
      <x:c r="E9" s="16" t="n">
        <x:v>0.058</x:v>
      </x:c>
      <x:c r="F9" s="12" t="n">
        <x:v>6.8</x:v>
      </x:c>
      <x:c r="G9" s="12" t="n">
        <x:v>9</x:v>
      </x:c>
      <x:c r="H9" s="12" t="n">
        <x:v>129</x:v>
      </x:c>
      <x:c r="I9" s="16" t="n">
        <x:v>0.07</x:v>
      </x:c>
      <x:c r="J9" s="12" t="n">
        <x:v>7.6</x:v>
      </x:c>
      <x:c r="K9" s="18" t="n">
        <x:f>IF(C9=0,"",ROUND((G9/3)/(C9/16)-1,2))</x:f>
        <x:v>-0.74</x:v>
      </x:c>
      <x:c r="L9" s="12" t="str">
        <x:v>Dài hạn mạnh nhưng gần đây giảm.</x:v>
      </x:c>
      <x:c r="M9" s="12" t="str">
        <x:v>Refresh/viết bài mới để cứu traffic.</x:v>
      </x:c>
      <x:c r="N9" s="12" t="str">
        <x:v>RTX 4070 cũ có đáng mua?</x:v>
      </x:c>
      <x:c r="O9" s="12" t="str">
        <x:v>A2</x:v>
      </x:c>
    </x:row>
    <x:row r="10">
      <x:c r="A10" s="12" t="str">
        <x:v>Linh kiện cũ</x:v>
      </x:c>
      <x:c r="B10" s="12" t="str">
        <x:v>linh kiện pc cũ</x:v>
      </x:c>
      <x:c r="C10" s="12" t="n">
        <x:v>33</x:v>
      </x:c>
      <x:c r="D10" s="12" t="n">
        <x:v>782</x:v>
      </x:c>
      <x:c r="E10" s="16" t="n">
        <x:v>0.042</x:v>
      </x:c>
      <x:c r="F10" s="12" t="n">
        <x:v>7.8</x:v>
      </x:c>
      <x:c r="G10" s="12" t="n">
        <x:v>21</x:v>
      </x:c>
      <x:c r="H10" s="12" t="n">
        <x:v>530</x:v>
      </x:c>
      <x:c r="I10" s="16" t="n">
        <x:v>0.04</x:v>
      </x:c>
      <x:c r="J10" s="12" t="n">
        <x:v>7.8</x:v>
      </x:c>
      <x:c r="K10" s="18" t="n">
        <x:f>IF(C10=0,"",ROUND((G10/3)/(C10/16)-1,2))</x:f>
        <x:v>2.39</x:v>
      </x:c>
      <x:c r="L10" s="12" t="str">
        <x:v>Nhu cầu mua rõ, 3 tháng chiếm tỷ lệ cao.</x:v>
      </x:c>
      <x:c r="M10" s="12" t="str">
        <x:v>Tạo landing/blog TPHCM + internal link sản phẩm.</x:v>
      </x:c>
      <x:c r="N10" s="12" t="str">
        <x:v>Linh kiện PC cũ TPHCM</x:v>
      </x:c>
      <x:c r="O10" s="12" t="str">
        <x:v>A2</x:v>
      </x:c>
    </x:row>
    <x:row r="11">
      <x:c r="A11" s="12" t="str">
        <x:v>Linh kiện cũ</x:v>
      </x:c>
      <x:c r="B11" s="12" t="str">
        <x:v>cpu amd cũ</x:v>
      </x:c>
      <x:c r="C11" s="12" t="n">
        <x:v>82</x:v>
      </x:c>
      <x:c r="D11" s="12" t="n">
        <x:v>343</x:v>
      </x:c>
      <x:c r="E11" s="16" t="n">
        <x:v>0.239</x:v>
      </x:c>
      <x:c r="F11" s="12" t="n">
        <x:v>5.7</x:v>
      </x:c>
      <x:c r="G11" s="12" t="n">
        <x:v>11</x:v>
      </x:c>
      <x:c r="H11" s="12" t="n">
        <x:v>47</x:v>
      </x:c>
      <x:c r="I11" s="16" t="n">
        <x:v>0.234</x:v>
      </x:c>
      <x:c r="J11" s="12" t="n">
        <x:v>3.6</x:v>
      </x:c>
      <x:c r="K11" s="18" t="n">
        <x:f>IF(C11=0,"",ROUND((G11/3)/(C11/16)-1,2))</x:f>
        <x:v>-0.28</x:v>
      </x:c>
      <x:c r="L11" s="12" t="str">
        <x:v>CTR rất tốt nhưng volume nhỏ.</x:v>
      </x:c>
      <x:c r="M11" s="12" t="str">
        <x:v>Làm bài CPU cũ để hỗ trợ bán hàng.</x:v>
      </x:c>
      <x:c r="N11" s="12" t="str">
        <x:v>CPU cũ có đáng mua?</x:v>
      </x:c>
      <x:c r="O11" s="12" t="str">
        <x:v>B</x:v>
      </x:c>
    </x:row>
    <x:row r="12">
      <x:c r="A12" s="12" t="str">
        <x:v>Phần mềm bản quyền</x:v>
      </x:c>
      <x:c r="B12" s="12" t="str">
        <x:v>office 2021</x:v>
      </x:c>
      <x:c r="C12" s="12" t="n">
        <x:v>136</x:v>
      </x:c>
      <x:c r="D12" s="12" t="n">
        <x:v>4076</x:v>
      </x:c>
      <x:c r="E12" s="16" t="n">
        <x:v>0.033</x:v>
      </x:c>
      <x:c r="F12" s="12" t="n">
        <x:v>9.2</x:v>
      </x:c>
      <x:c r="G12" s="12" t="n">
        <x:v>123</x:v>
      </x:c>
      <x:c r="H12" s="12" t="n">
        <x:v>3249</x:v>
      </x:c>
      <x:c r="I12" s="16" t="n">
        <x:v>0.038</x:v>
      </x:c>
      <x:c r="J12" s="12" t="n">
        <x:v>6.5</x:v>
      </x:c>
      <x:c r="K12" s="18" t="n">
        <x:f>IF(C12=0,"",ROUND((G12/3)/(C12/16)-1,2))</x:f>
        <x:v>3.82</x:v>
      </x:c>
      <x:c r="L12" s="12" t="str">
        <x:v>Tăng rất mạnh trong 3 tháng.</x:v>
      </x:c>
      <x:c r="M12" s="12" t="str">
        <x:v>Ưu tiên bài sạch về bản quyền, tránh crack.</x:v>
      </x:c>
      <x:c r="N12" s="12" t="str">
        <x:v>Office bản quyền khác gì crack?</x:v>
      </x:c>
      <x:c r="O12" s="12" t="str">
        <x:v>A1</x:v>
      </x:c>
    </x:row>
    <x:row r="13">
      <x:c r="A13" s="12" t="str">
        <x:v>Phần mềm bản quyền</x:v>
      </x:c>
      <x:c r="B13" s="12" t="str">
        <x:v>crack office 2021</x:v>
      </x:c>
      <x:c r="C13" s="12" t="n">
        <x:v>1067</x:v>
      </x:c>
      <x:c r="D13" s="12" t="n">
        <x:v>6021</x:v>
      </x:c>
      <x:c r="E13" s="16" t="n">
        <x:v>0.177</x:v>
      </x:c>
      <x:c r="F13" s="12" t="n">
        <x:v>5.4</x:v>
      </x:c>
      <x:c r="G13" s="12" t="n">
        <x:v>466</x:v>
      </x:c>
      <x:c r="H13" s="12" t="n">
        <x:v>2167</x:v>
      </x:c>
      <x:c r="I13" s="16" t="n">
        <x:v>0.215</x:v>
      </x:c>
      <x:c r="J13" s="12" t="n">
        <x:v>4.2</x:v>
      </x:c>
      <x:c r="K13" s="18" t="n">
        <x:f>IF(C13=0,"",ROUND((G13/3)/(C13/16)-1,2))</x:f>
        <x:v>1.33</x:v>
      </x:c>
      <x:c r="L13" s="12" t="str">
        <x:v>Traffic rủi ro nhưng rất lớn.</x:v>
      </x:c>
      <x:c r="M13" s="12" t="str">
        <x:v>Chỉ viết bài cảnh báo rủi ro, chuyển CTA bản quyền.</x:v>
      </x:c>
      <x:c r="N13" s="12" t="str">
        <x:v>Office 2021 crack có an toàn không?</x:v>
      </x:c>
      <x:c r="O13" s="12" t="str">
        <x:v>A2</x:v>
      </x:c>
    </x:row>
    <x:row r="14">
      <x:c r="A14" s="12" t="str">
        <x:v>Phần mềm bản quyền</x:v>
      </x:c>
      <x:c r="B14" s="12" t="str">
        <x:v>autocad 2021</x:v>
      </x:c>
      <x:c r="C14" s="12" t="n">
        <x:v>946</x:v>
      </x:c>
      <x:c r="D14" s="12" t="n">
        <x:v>19003</x:v>
      </x:c>
      <x:c r="E14" s="16" t="n">
        <x:v>0.05</x:v>
      </x:c>
      <x:c r="F14" s="12" t="n">
        <x:v>6.7</x:v>
      </x:c>
      <x:c r="G14" s="12" t="n">
        <x:v>19</x:v>
      </x:c>
      <x:c r="H14" s="12" t="n">
        <x:v>636</x:v>
      </x:c>
      <x:c r="I14" s="16" t="n">
        <x:v>0.03</x:v>
      </x:c>
      <x:c r="J14" s="12" t="n">
        <x:v>10.9</x:v>
      </x:c>
      <x:c r="K14" s="18" t="n">
        <x:f>IF(C14=0,"",ROUND((G14/3)/(C14/16)-1,2))</x:f>
        <x:v>-0.89</x:v>
      </x:c>
      <x:c r="L14" s="12" t="str">
        <x:v>Dài hạn mạnh nhưng 3 tháng giảm.</x:v>
      </x:c>
      <x:c r="M14" s="12" t="str">
        <x:v>Chuyển sang cấu hình PC chạy AutoCAD + cài hợp lệ.</x:v>
      </x:c>
      <x:c r="N14" s="12" t="str">
        <x:v>Cấu hình máy tính chạy AutoCAD 2021</x:v>
      </x:c>
      <x:c r="O14" s="12" t="str">
        <x:v>B</x:v>
      </x:c>
    </x:row>
    <x:row r="15">
      <x:c r="A15" s="12" t="str">
        <x:v>Phần mềm bản quyền</x:v>
      </x:c>
      <x:c r="B15" s="12" t="str">
        <x:v>hướng dẫn cài đặt autocad 2021</x:v>
      </x:c>
      <x:c r="C15" s="12" t="n">
        <x:v>167</x:v>
      </x:c>
      <x:c r="D15" s="12" t="n">
        <x:v>1911</x:v>
      </x:c>
      <x:c r="E15" s="16" t="n">
        <x:v>0.087</x:v>
      </x:c>
      <x:c r="F15" s="12" t="n">
        <x:v>5.2</x:v>
      </x:c>
      <x:c r="G15" s="12" t="n">
        <x:v>51</x:v>
      </x:c>
      <x:c r="H15" s="12" t="n">
        <x:v>307</x:v>
      </x:c>
      <x:c r="I15" s="16" t="n">
        <x:v>0.166</x:v>
      </x:c>
      <x:c r="J15" s="12" t="n">
        <x:v>3.7</x:v>
      </x:c>
      <x:c r="K15" s="18" t="n">
        <x:f>IF(C15=0,"",ROUND((G15/3)/(C15/16)-1,2))</x:f>
        <x:v>0.63</x:v>
      </x:c>
      <x:c r="L15" s="12" t="str">
        <x:v>Đang có CTR/vị trí tốt.</x:v>
      </x:c>
      <x:c r="M15" s="12" t="str">
        <x:v>Viết bài cài hợp lệ, không crack.</x:v>
      </x:c>
      <x:c r="N15" s="12" t="str">
        <x:v>Hướng dẫn cài AutoCAD 2021 hợp lệ</x:v>
      </x:c>
      <x:c r="O15" s="12" t="str">
        <x:v>A1</x:v>
      </x:c>
    </x:row>
    <x:row r="16">
      <x:c r="A16" s="12" t="str">
        <x:v>Phần mềm bản quyền</x:v>
      </x:c>
      <x:c r="B16" s="12" t="str">
        <x:v>autocad/crack cad 2021</x:v>
      </x:c>
      <x:c r="C16" s="12" t="n">
        <x:v>592</x:v>
      </x:c>
      <x:c r="D16" s="12" t="n">
        <x:v>4816</x:v>
      </x:c>
      <x:c r="E16" s="16" t="n">
        <x:v>0.123</x:v>
      </x:c>
      <x:c r="F16" s="12" t="n">
        <x:v>4.2</x:v>
      </x:c>
      <x:c r="G16" s="12" t="n">
        <x:v>42</x:v>
      </x:c>
      <x:c r="H16" s="12" t="n">
        <x:v>668</x:v>
      </x:c>
      <x:c r="I16" s="16" t="n">
        <x:v>0.063</x:v>
      </x:c>
      <x:c r="J16" s="12" t="n">
        <x:v>7.8</x:v>
      </x:c>
      <x:c r="K16" s="18" t="n">
        <x:f>IF(C16=0,"",ROUND((G16/3)/(C16/16)-1,2))</x:f>
        <x:v>-0.62</x:v>
      </x:c>
      <x:c r="L16" s="12" t="str">
        <x:v>Nhóm crack giảm tương đối nhưng vẫn có volume.</x:v>
      </x:c>
      <x:c r="M16" s="12" t="str">
        <x:v>Cảnh báo rủi ro + link bản quyền/cấu hình PC.</x:v>
      </x:c>
      <x:c r="N16" s="12" t="str">
        <x:v>AutoCAD 2021 crack có nên dùng?</x:v>
      </x:c>
      <x:c r="O16" s="12" t="str">
        <x:v>A2</x:v>
      </x:c>
    </x:row>
    <x:row r="17">
      <x:c r="A17" s="12" t="str">
        <x:v>Dịch vụ Quận 7</x:v>
      </x:c>
      <x:c r="B17" s="12" t="str">
        <x:v>sửa máy tính quận 7</x:v>
      </x:c>
      <x:c r="C17" s="12" t="n">
        <x:v>92</x:v>
      </x:c>
      <x:c r="D17" s="12" t="n">
        <x:v>5014</x:v>
      </x:c>
      <x:c r="E17" s="16" t="n">
        <x:v>0.018</x:v>
      </x:c>
      <x:c r="F17" s="12" t="n">
        <x:v>13.1</x:v>
      </x:c>
      <x:c r="G17" s="12" t="n">
        <x:v>4</x:v>
      </x:c>
      <x:c r="H17" s="12" t="n">
        <x:v>529</x:v>
      </x:c>
      <x:c r="I17" s="16" t="n">
        <x:v>0.008</x:v>
      </x:c>
      <x:c r="J17" s="12" t="n">
        <x:v>16.1</x:v>
      </x:c>
      <x:c r="K17" s="18" t="n">
        <x:f>IF(C17=0,"",ROUND((G17/3)/(C17/16)-1,2))</x:f>
        <x:v>-0.77</x:v>
      </x:c>
      <x:c r="L17" s="12" t="str">
        <x:v>Tụt và CTR thấp; rất cần local SEO.</x:v>
      </x:c>
      <x:c r="M17" s="12" t="str">
        <x:v>Làm landing + blog dịch vụ + LocalBusiness schema.</x:v>
      </x:c>
      <x:c r="N17" s="12" t="str">
        <x:v>Sửa máy tính Quận 7</x:v>
      </x:c>
      <x:c r="O17" s="12" t="str">
        <x:v>A1</x:v>
      </x:c>
    </x:row>
    <x:row r="18">
      <x:c r="A18" s="12" t="str">
        <x:v>Dịch vụ Quận 7</x:v>
      </x:c>
      <x:c r="B18" s="12" t="str">
        <x:v>sửa laptop quận 7</x:v>
      </x:c>
      <x:c r="C18" s="12" t="n">
        <x:v>16</x:v>
      </x:c>
      <x:c r="D18" s="12" t="n">
        <x:v>2743</x:v>
      </x:c>
      <x:c r="E18" s="16" t="n">
        <x:v>0.006</x:v>
      </x:c>
      <x:c r="F18" s="12" t="n">
        <x:v>11.8</x:v>
      </x:c>
      <x:c r="G18" s="12" t="n">
        <x:v>5</x:v>
      </x:c>
      <x:c r="H18" s="12" t="n">
        <x:v>303</x:v>
      </x:c>
      <x:c r="I18" s="16" t="n">
        <x:v>0.017</x:v>
      </x:c>
      <x:c r="J18" s="12" t="n">
        <x:v>12.4</x:v>
      </x:c>
      <x:c r="K18" s="18" t="n">
        <x:f>IF(C18=0,"",ROUND((G18/3)/(C18/16)-1,2))</x:f>
        <x:v>0.67</x:v>
      </x:c>
      <x:c r="L18" s="12" t="str">
        <x:v>Còn dưới top 10, intent local rõ.</x:v>
      </x:c>
      <x:c r="M18" s="12" t="str">
        <x:v>Viết bài local và link từ dịch vụ.</x:v>
      </x:c>
      <x:c r="N18" s="12" t="str">
        <x:v>Sửa laptop Quận 7</x:v>
      </x:c>
      <x:c r="O18" s="12" t="str">
        <x:v>A2</x:v>
      </x:c>
    </x:row>
    <x:row r="19">
      <x:c r="A19" s="12" t="str">
        <x:v>Kỹ thuật/Gaming hỗ trợ</x:v>
      </x:c>
      <x:c r="B19" s="12" t="str">
        <x:v>cs2</x:v>
      </x:c>
      <x:c r="C19" s="12" t="n">
        <x:v>54</x:v>
      </x:c>
      <x:c r="D19" s="12" t="n">
        <x:v>8011</x:v>
      </x:c>
      <x:c r="E19" s="16" t="n">
        <x:v>0.007</x:v>
      </x:c>
      <x:c r="F19" s="12" t="n">
        <x:v>6.3</x:v>
      </x:c>
      <x:c r="G19" s="12" t="n">
        <x:v>33</x:v>
      </x:c>
      <x:c r="H19" s="12" t="n">
        <x:v>4529</x:v>
      </x:c>
      <x:c r="I19" s="16" t="n">
        <x:v>0.007</x:v>
      </x:c>
      <x:c r="J19" s="12" t="n">
        <x:v>6.3</x:v>
      </x:c>
      <x:c r="K19" s="18" t="n">
        <x:f>IF(C19=0,"",ROUND((G19/3)/(C19/16)-1,2))</x:f>
        <x:v>2.26</x:v>
      </x:c>
      <x:c r="L19" s="12" t="str">
        <x:v>Impression cao nhưng CTR thấp và không sát chuyển đổi.</x:v>
      </x:c>
      <x:c r="M19" s="12" t="str">
        <x:v>Chỉ làm bài nếu kéo về Build PC gaming.</x:v>
      </x:c>
      <x:c r="N19" s="12" t="str">
        <x:v>CS2 là gì + cấu hình chơi CS2</x:v>
      </x:c>
      <x:c r="O19" s="12" t="str">
        <x:v>B</x:v>
      </x:c>
    </x:row>
    <x:row r="20">
      <x:c r="A20" s="12" t="str">
        <x:v>Kỹ thuật/Gaming hỗ trợ</x:v>
      </x:c>
      <x:c r="B20" s="12" t="str">
        <x:v>main X99 lỗi AA/73/67/60</x:v>
      </x:c>
      <x:c r="C20" s="12" t="n">
        <x:v>164</x:v>
      </x:c>
      <x:c r="D20" s="12" t="n">
        <x:v>741</x:v>
      </x:c>
      <x:c r="E20" s="16" t="n">
        <x:v>0.221</x:v>
      </x:c>
      <x:c r="F20" s="12" t="n">
        <x:v>1.7</x:v>
      </x:c>
      <x:c r="G20" s="12" t="n">
        <x:v>2</x:v>
      </x:c>
      <x:c r="H20" s="12" t="n">
        <x:v>38</x:v>
      </x:c>
      <x:c r="I20" s="16" t="n">
        <x:v>0.053</x:v>
      </x:c>
      <x:c r="J20" s="12" t="n">
        <x:v>6.3</x:v>
      </x:c>
      <x:c r="K20" s="18" t="n">
        <x:f>IF(C20=0,"",ROUND((G20/3)/(C20/16)-1,2))</x:f>
        <x:v>-0.93</x:v>
      </x:c>
      <x:c r="L20" s="12" t="str">
        <x:v>Dài hạn từng mạnh; có thể kéo lead sửa PC/linh kiện cũ.</x:v>
      </x:c>
      <x:c r="M20" s="12" t="str">
        <x:v>Refresh bài kỹ thuật X99.</x:v>
      </x:c>
      <x:c r="N20" s="12" t="str">
        <x:v>Bảng mã lỗi main X99</x:v>
      </x:c>
      <x:c r="O20" s="12" t="str">
        <x:v>B</x:v>
      </x:c>
    </x:row>
    <x:row r="21">
      <x:c r="A21" s="12" t="str">
        <x:v>Dịch vụ Quận 7</x:v>
      </x:c>
      <x:c r="B21" s="12" t="str">
        <x:v>thu mua pc cũ</x:v>
      </x:c>
      <x:c r="C21" s="12" t="n">
        <x:v>25</x:v>
      </x:c>
      <x:c r="D21" s="12" t="n">
        <x:v>3144</x:v>
      </x:c>
      <x:c r="E21" s="16" t="n">
        <x:v>0.008</x:v>
      </x:c>
      <x:c r="F21" s="12" t="n">
        <x:v>11.3</x:v>
      </x:c>
      <x:c r="G21" s="12" t="n">
        <x:v>3</x:v>
      </x:c>
      <x:c r="H21" s="12" t="n">
        <x:v>463</x:v>
      </x:c>
      <x:c r="I21" s="16" t="n">
        <x:v>0.006</x:v>
      </x:c>
      <x:c r="J21" s="12" t="n">
        <x:v>12</x:v>
      </x:c>
      <x:c r="K21" s="18" t="n">
        <x:f>IF(C21=0,"",ROUND((G21/3)/(C21/16)-1,2))</x:f>
        <x:v>-0.36</x:v>
      </x:c>
      <x:c r="L21" s="12" t="str">
        <x:v>BOFU local nhưng CTR thấp.</x:v>
      </x:c>
      <x:c r="M21" s="12" t="str">
        <x:v>Làm bài/landing thu mua PC cũ.</x:v>
      </x:c>
      <x:c r="N21" s="12" t="str">
        <x:v>Thu mua PC cũ TPHCM</x:v>
      </x:c>
      <x:c r="O21" s="12" t="str">
        <x:v>B</x:v>
      </x:c>
    </x:row>
    <x:row r="22">
      <x:c r="A22" s="12" t="str">
        <x:v>Không ưu tiên</x:v>
      </x:c>
      <x:c r="B22" s="12" t="str">
        <x:v>phim chiếu rạp / f68 / key ngoài ngành</x:v>
      </x:c>
      <x:c r="C22" s="12" t="n">
        <x:v>105</x:v>
      </x:c>
      <x:c r="D22" s="12" t="n">
        <x:v>3694</x:v>
      </x:c>
      <x:c r="E22" s="16" t="n">
        <x:v>0.028</x:v>
      </x:c>
      <x:c r="F22" s="12" t="n">
        <x:v>5.7</x:v>
      </x:c>
      <x:c r="G22" s="12" t="n">
        <x:v>0</x:v>
      </x:c>
      <x:c r="H22" s="12" t="n">
        <x:v>0</x:v>
      </x:c>
      <x:c r="I22" s="16" t="n">
        <x:v>0</x:v>
      </x:c>
      <x:c r="J22" s="12" t="n">
        <x:v>0</x:v>
      </x:c>
      <x:c r="K22" s="18" t="n">
        <x:f>IF(C22=0,"",ROUND((G22/3)/(C22/16)-1,2))</x:f>
        <x:v>-1</x:v>
      </x:c>
      <x:c r="L22" s="12" t="str">
        <x:v>Không liên quan ngành PC/linh kiện/dịch vụ.</x:v>
      </x:c>
      <x:c r="M22" s="12" t="str">
        <x:v>Không nuôi riêng, tránh loãng topical authority.</x:v>
      </x:c>
      <x:c r="N22" s="12" t="str">
        <x:v>Không triển khai</x:v>
      </x:c>
      <x:c r="O22" s="12" t="str">
        <x:v>C</x:v>
      </x:c>
    </x:row>
  </x:sheetData>
  <x:conditionalFormatting sqref="K2:K2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a6414d2e79e46c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8" hidden="0" customWidth="1"/>
    <x:col min="4" max="4" width="14" hidden="0" customWidth="1"/>
    <x:col min="5" max="5" width="18" hidden="0" customWidth="1"/>
    <x:col min="6" max="6" width="10" hidden="0" customWidth="1"/>
    <x:col min="7" max="7" width="22" hidden="0" customWidth="1"/>
    <x:col min="8" max="8" width="14" hidden="0" customWidth="1"/>
    <x:col min="9" max="9" width="42" hidden="0" customWidth="1"/>
    <x:col min="10" max="10" width="36" hidden="0" customWidth="1"/>
    <x:col min="11" max="11" width="10" hidden="0" customWidth="1"/>
    <x:col min="12" max="12" width="48" hidden="0" customWidth="1"/>
    <x:col min="13" max="13" width="10" hidden="0" customWidth="1"/>
    <x:col min="14" max="14" width="22" hidden="0" customWidth="1"/>
    <x:col min="15" max="15" width="45" hidden="0" customWidth="1"/>
    <x:col min="16" max="16" width="38" hidden="0" customWidth="1"/>
    <x:col min="17" max="17" width="38" hidden="0" customWidth="1"/>
    <x:col min="18" max="18" width="42" hidden="0" customWidth="1"/>
    <x:col min="19" max="19" width="34" hidden="0" customWidth="1"/>
    <x:col min="20" max="20" width="32" hidden="0" customWidth="1"/>
    <x:col min="21" max="21" width="38" hidden="0" customWidth="1"/>
    <x:col min="22" max="22" width="36" hidden="0" customWidth="1"/>
    <x:col min="23" max="23" width="58" hidden="0" customWidth="1"/>
    <x:col min="24" max="24" width="42" hidden="0" customWidth="1"/>
    <x:col min="25" max="25" width="18" hidden="0" customWidth="1"/>
    <x:col min="26" max="26" width="12" hidden="0" customWidth="1"/>
    <x:col min="27" max="27" width="10" hidden="0" customWidth="1"/>
    <x:col min="28" max="28" width="12" hidden="0" customWidth="1"/>
    <x:col min="29" max="29" width="10" hidden="0" customWidth="1"/>
    <x:col min="30" max="30" width="28" hidden="0" customWidth="1"/>
    <x:col min="31" max="31" width="10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40" hidden="0" customWidth="1"/>
    <x:col min="37" max="37" width="26" hidden="0" customWidth="1"/>
  </x:cols>
  <x:sheetData>
    <x:row r="1">
      <x:c r="A1" s="6" t="str">
        <x:v>ID</x:v>
      </x:c>
      <x:c r="B1" s="6" t="str">
        <x:v>Giai đoạn</x:v>
      </x:c>
      <x:c r="C1" s="6" t="str">
        <x:v>Tuần</x:v>
      </x:c>
      <x:c r="D1" s="6" t="str">
        <x:v>Ngày đăng dự kiến</x:v>
      </x:c>
      <x:c r="E1" s="6" t="str">
        <x:v>Cụm chủ đề</x:v>
      </x:c>
      <x:c r="F1" s="6" t="str">
        <x:v>Ưu tiên</x:v>
      </x:c>
      <x:c r="G1" s="6" t="str">
        <x:v>Search intent</x:v>
      </x:c>
      <x:c r="H1" s="6" t="str">
        <x:v>Funnel</x:v>
      </x:c>
      <x:c r="I1" s="6" t="str">
        <x:v>H1 / Tên bài</x:v>
      </x:c>
      <x:c r="J1" s="6" t="str">
        <x:v>SEO Title</x:v>
      </x:c>
      <x:c r="K1" s="6" t="str">
        <x:v>Title Len</x:v>
      </x:c>
      <x:c r="L1" s="6" t="str">
        <x:v>Meta Description</x:v>
      </x:c>
      <x:c r="M1" s="6" t="str">
        <x:v>Meta Len</x:v>
      </x:c>
      <x:c r="N1" s="6" t="str">
        <x:v>Keyword chính</x:v>
      </x:c>
      <x:c r="O1" s="6" t="str">
        <x:v>Keyword phụ</x:v>
      </x:c>
      <x:c r="P1" s="6" t="str">
        <x:v>Tín hiệu 16 tháng</x:v>
      </x:c>
      <x:c r="Q1" s="6" t="str">
        <x:v>Tín hiệu 3 tháng</x:v>
      </x:c>
      <x:c r="R1" s="6" t="str">
        <x:v>Lý do / Trend</x:v>
      </x:c>
      <x:c r="S1" s="6" t="str">
        <x:v>Slug đề xuất</x:v>
      </x:c>
      <x:c r="T1" s="6" t="str">
        <x:v>Target URL cần đẩy</x:v>
      </x:c>
      <x:c r="U1" s="6" t="str">
        <x:v>Anchor nội bộ</x:v>
      </x:c>
      <x:c r="V1" s="6" t="str">
        <x:v>CTA</x:v>
      </x:c>
      <x:c r="W1" s="6" t="str">
        <x:v>Outline H2/H3</x:v>
      </x:c>
      <x:c r="X1" s="6" t="str">
        <x:v>EEAT / Asset cần có</x:v>
      </x:c>
      <x:c r="Y1" s="6" t="str">
        <x:v>Schema</x:v>
      </x:c>
      <x:c r="Z1" s="6" t="str">
        <x:v>Word count</x:v>
      </x:c>
      <x:c r="AA1" s="6" t="str">
        <x:v>Impact 1-5</x:v>
      </x:c>
      <x:c r="AB1" s="6" t="str">
        <x:v>Conversion 1-5</x:v>
      </x:c>
      <x:c r="AC1" s="6" t="str">
        <x:v>Effort 1-5</x:v>
      </x:c>
      <x:c r="AD1" s="6" t="str">
        <x:v>Risk note</x:v>
      </x:c>
      <x:c r="AE1" s="6" t="str">
        <x:v>SEO Score</x:v>
      </x:c>
      <x:c r="AF1" s="6" t="str">
        <x:v>Status</x:v>
      </x:c>
      <x:c r="AG1" s="6" t="str">
        <x:v>Owner</x:v>
      </x:c>
      <x:c r="AH1" s="6" t="str">
        <x:v>Deadline draft</x:v>
      </x:c>
      <x:c r="AI1" s="6" t="str">
        <x:v>Deadline publish</x:v>
      </x:c>
      <x:c r="AJ1" s="6" t="str">
        <x:v>KPI theo dõi</x:v>
      </x:c>
      <x:c r="AK1" s="6" t="str">
        <x:v>Ghi chú</x:v>
      </x:c>
    </x:row>
    <x:row r="2">
      <x:c r="A2" s="12" t="str">
        <x:v>BLG-001</x:v>
      </x:c>
      <x:c r="B2" s="12" t="str">
        <x:v>GĐ1 - Bảo vệ trụ cột</x:v>
      </x:c>
      <x:c r="C2" s="12" t="n">
        <x:v>1</x:v>
      </x:c>
      <x:c r="D2" s="14" t="n">
        <x:v>46192</x:v>
      </x:c>
      <x:c r="E2" s="12" t="str">
        <x:v>Build PC</x:v>
      </x:c>
      <x:c r="F2" s="12" t="str">
        <x:v>A1</x:v>
      </x:c>
      <x:c r="G2" s="12" t="str">
        <x:v>Informational + Commercial</x:v>
      </x:c>
      <x:c r="H2" s="12" t="str">
        <x:v>TOFU/MOFU</x:v>
      </x:c>
      <x:c r="I2" s="12" t="str">
        <x:v>Build PC Online Là Gì? Cách Tự Xây Dựng Cấu Hình PC Tại Sintech</x:v>
      </x:c>
      <x:c r="J2" s="12" t="str">
        <x:v>Build PC Online Là Gì? Tự Xây Dựng Cấu Hình PC | Sintech</x:v>
      </x:c>
      <x:c r="K2" s="12" t="n">
        <x:f>LEN(J2)</x:f>
        <x:v>56</x:v>
      </x:c>
      <x:c r="L2" s="12" t="str">
        <x:v>Tìm hiểu Build PC online là gì, cách tự chọn CPU, VGA, RAM, SSD, nguồn, case và xuất báo giá nhanh tại Sintech.</x:v>
      </x:c>
      <x:c r="M2" s="12" t="n">
        <x:f>LEN(L2)</x:f>
        <x:v>111</x:v>
      </x:c>
      <x:c r="N2" s="12" t="str">
        <x:v>build pc online</x:v>
      </x:c>
      <x:c r="O2" s="12" t="str">
        <x:v>build pc, web build pc, build pc web, pc build online, build online, built pc online, trang web build pc</x:v>
      </x:c>
      <x:c r="P2" s="12" t="str">
        <x:v>16M: build pc online 3.789 click / 15.324 hiển thị / vị trí 2,5</x:v>
      </x:c>
      <x:c r="Q2" s="12" t="str">
        <x:v>3M: build pc online 896 click / 3.871 hiển thị / vị trí 2,6</x:v>
      </x:c>
      <x:c r="R2" s="12" t="str">
        <x:v>Key trụ cột ổn định; cần bảo vệ top và gom thêm biến thể long-tail.</x:v>
      </x:c>
      <x:c r="S2" s="12" t="str">
        <x:v>/blogs/huong-dan/build-pc-online-la-gi</x:v>
      </x:c>
      <x:c r="T2" s="12" t="str">
        <x:v>/pages/xay-dung-cau-hinh</x:v>
      </x:c>
      <x:c r="U2" s="12" t="str">
        <x:v>build PC online tại Sintech; công cụ xây dựng cấu hình PC; web Build PC Sintech</x:v>
      </x:c>
      <x:c r="V2" s="12" t="str">
        <x:v>Trải nghiệm công cụ Build PC Online để chọn linh kiện và xuất báo giá.</x:v>
      </x:c>
      <x:c r="W2" s="12" t="str">
        <x:v>H2 Build PC online là gì? | H2 Ai nên dùng công cụ này? | H2 Cách chọn từng linh kiện | H2 Cách lưu/xuất báo giá | H2 FAQ</x:v>
      </x:c>
      <x:c r="X2" s="12" t="str">
        <x:v>Ảnh chụp giao diện tool thật; video ngắn thao tác; ví dụ cấu hình từ sản phẩm Sintech.</x:v>
      </x:c>
      <x:c r="Y2" s="12" t="str">
        <x:v>Article + FAQPage</x:v>
      </x:c>
      <x:c r="Z2" s="12" t="n">
        <x:v>1800</x:v>
      </x:c>
      <x:c r="AA2" s="12" t="n">
        <x:v>5</x:v>
      </x:c>
      <x:c r="AB2" s="12" t="n">
        <x:v>5</x:v>
      </x:c>
      <x:c r="AC2" s="12" t="n">
        <x:v>3</x:v>
      </x:c>
      <x:c r="AD2" s="12" t="str">
        <x:v>Thấp</x:v>
      </x:c>
      <x:c r="AE2" s="12" t="n">
        <x:f>ROUND(((AA2*0.45)+(AB2*0.40)+(MAX(1,6-AC2)*0.15))*20,0)</x:f>
        <x:v>94</x:v>
      </x:c>
      <x:c r="AF2" s="12" t="str">
        <x:v>Chưa viết</x:v>
      </x:c>
      <x:c r="AG2" s="12" t="str">
        <x:v>Sintech SEO</x:v>
      </x:c>
      <x:c r="AH2" s="14" t="n">
        <x:v>46189</x:v>
      </x:c>
      <x:c r="AI2" s="14" t="n">
        <x:v>46192</x:v>
      </x:c>
      <x:c r="AJ2" s="12" t="str">
        <x:v>Click / Impression / Vị trí / CTR theo URL sau 14-28 ngày</x:v>
      </x:c>
      <x:c r="AK2" s="12" t="str"/>
    </x:row>
    <x:row r="3">
      <x:c r="A3" s="12" t="str">
        <x:v>BLG-002</x:v>
      </x:c>
      <x:c r="B3" s="12" t="str">
        <x:v>GĐ1 - Bảo vệ trụ cột</x:v>
      </x:c>
      <x:c r="C3" s="12" t="n">
        <x:v>1</x:v>
      </x:c>
      <x:c r="D3" s="14" t="n">
        <x:v>46194</x:v>
      </x:c>
      <x:c r="E3" s="12" t="str">
        <x:v>Build PC</x:v>
      </x:c>
      <x:c r="F3" s="12" t="str">
        <x:v>A1</x:v>
      </x:c>
      <x:c r="G3" s="12" t="str">
        <x:v>Informational</x:v>
      </x:c>
      <x:c r="H3" s="12" t="str">
        <x:v>TOFU/MOFU</x:v>
      </x:c>
      <x:c r="I3" s="12" t="str">
        <x:v>Hướng Dẫn Xây Dựng Cấu Hình PC Theo Nhu Cầu Từ A-Z</x:v>
      </x:c>
      <x:c r="J3" s="12" t="str">
        <x:v>Hướng Dẫn Xây Dựng Cấu Hình PC Theo Nhu Cầu</x:v>
      </x:c>
      <x:c r="K3" s="12" t="n">
        <x:f>LEN(J3)</x:f>
        <x:v>43</x:v>
      </x:c>
      <x:c r="L3" s="12" t="str">
        <x:v>Hướng dẫn xây dựng cấu hình PC theo nhu cầu gaming, đồ họa, AI, văn phòng; biết cách chọn CPU, VGA, RAM, SSD và nguồn.</x:v>
      </x:c>
      <x:c r="M3" s="12" t="n">
        <x:f>LEN(L3)</x:f>
        <x:v>118</x:v>
      </x:c>
      <x:c r="N3" s="12" t="str">
        <x:v>xây dựng cấu hình pc</x:v>
      </x:c>
      <x:c r="O3" s="12" t="str">
        <x:v>xây dựng cấu hình, xây dựng cấu hình máy tính, dựng cấu hình pc, build cấu hình pc, tự build cấu hình pc</x:v>
      </x:c>
      <x:c r="P3" s="12" t="str">
        <x:v>16M: xây dựng cấu hình pc 51 click / 2.596 hiển thị / vị trí 9,4</x:v>
      </x:c>
      <x:c r="Q3" s="12" t="str">
        <x:v>3M: xây dựng cấu hình pc 16 click / 936 hiển thị / vị trí 9,5</x:v>
      </x:c>
      <x:c r="R3" s="12" t="str">
        <x:v>Nhiều hiển thị nhưng CTR thấp; bài hướng dẫn có thể đẩy lên trang 1.</x:v>
      </x:c>
      <x:c r="S3" s="12" t="str">
        <x:v>/blogs/huong-dan/huong-dan-xay-dung-cau-hinh-pc</x:v>
      </x:c>
      <x:c r="T3" s="12" t="str">
        <x:v>/pages/xay-dung-cau-hinh</x:v>
      </x:c>
      <x:c r="U3" s="12" t="str">
        <x:v>xây dựng cấu hình PC; tự build PC theo nhu cầu; chọn linh kiện tại Sintech</x:v>
      </x:c>
      <x:c r="V3" s="12" t="str">
        <x:v>Dùng tool Build PC để kiểm tra cấu hình trước khi chốt linh kiện.</x:v>
      </x:c>
      <x:c r="W3" s="12" t="str">
        <x:v>H2 Xác định nhu cầu | H2 Chọn CPU/Main/RAM | H2 Chọn VGA/SSD/Nguồn | H2 Kiểm tra tương thích | H2 Mẫu cấu hình theo nhu cầu</x:v>
      </x:c>
      <x:c r="X3" s="12" t="str">
        <x:v>Thêm checklist kỹ thuật do Sintech kiểm tra; ví dụ cấu hình thực tế.</x:v>
      </x:c>
      <x:c r="Y3" s="12" t="str">
        <x:v>HowTo + FAQPage</x:v>
      </x:c>
      <x:c r="Z3" s="12" t="n">
        <x:v>2200</x:v>
      </x:c>
      <x:c r="AA3" s="12" t="n">
        <x:v>5</x:v>
      </x:c>
      <x:c r="AB3" s="12" t="n">
        <x:v>4</x:v>
      </x:c>
      <x:c r="AC3" s="12" t="n">
        <x:v>4</x:v>
      </x:c>
      <x:c r="AD3" s="12" t="str">
        <x:v>Thấp</x:v>
      </x:c>
      <x:c r="AE3" s="12" t="n">
        <x:f>ROUND(((AA3*0.45)+(AB3*0.40)+(MAX(1,6-AC3)*0.15))*20,0)</x:f>
        <x:v>83</x:v>
      </x:c>
      <x:c r="AF3" s="12" t="str">
        <x:v>Chưa viết</x:v>
      </x:c>
      <x:c r="AG3" s="12" t="str">
        <x:v>Sintech SEO</x:v>
      </x:c>
      <x:c r="AH3" s="14" t="n">
        <x:v>46191</x:v>
      </x:c>
      <x:c r="AI3" s="14" t="n">
        <x:v>46194</x:v>
      </x:c>
      <x:c r="AJ3" s="12" t="str">
        <x:v>Click / Impression / Vị trí / CTR theo URL sau 14-28 ngày</x:v>
      </x:c>
      <x:c r="AK3" s="12" t="str"/>
    </x:row>
    <x:row r="4">
      <x:c r="A4" s="12" t="str">
        <x:v>BLG-003</x:v>
      </x:c>
      <x:c r="B4" s="12" t="str">
        <x:v>GĐ1 - Bảo vệ trụ cột</x:v>
      </x:c>
      <x:c r="C4" s="12" t="n">
        <x:v>2</x:v>
      </x:c>
      <x:c r="D4" s="14" t="n">
        <x:v>46199</x:v>
      </x:c>
      <x:c r="E4" s="12" t="str">
        <x:v>Build PC</x:v>
      </x:c>
      <x:c r="F4" s="12" t="str">
        <x:v>A1</x:v>
      </x:c>
      <x:c r="G4" s="12" t="str">
        <x:v>Informational</x:v>
      </x:c>
      <x:c r="H4" s="12" t="str">
        <x:v>TOFU</x:v>
      </x:c>
      <x:c r="I4" s="12" t="str">
        <x:v>Tự Build PC Cần Lưu Ý Gì? 10 Lỗi Người Mới Thường Gặp</x:v>
      </x:c>
      <x:c r="J4" s="12" t="str">
        <x:v>Tự Build PC Cần Lưu Ý Gì? 10 Lỗi Người Mới Hay Gặp</x:v>
      </x:c>
      <x:c r="K4" s="12" t="n">
        <x:f>LEN(J4)</x:f>
        <x:v>50</x:v>
      </x:c>
      <x:c r="L4" s="12" t="str">
        <x:v>Tự build PC cần kiểm tra main, CPU, RAM, VGA, nguồn, case và tản nhiệt. Xem 10 lỗi phổ biến để tránh mua sai linh kiện.</x:v>
      </x:c>
      <x:c r="M4" s="12" t="n">
        <x:f>LEN(L4)</x:f>
        <x:v>119</x:v>
      </x:c>
      <x:c r="N4" s="12" t="str">
        <x:v>tự build pc</x:v>
      </x:c>
      <x:c r="O4" s="12" t="str">
        <x:v>tự build cấu hình pc, build pc theo yêu cầu, xây dựng pc, build cấu hình pc</x:v>
      </x:c>
      <x:c r="P4" s="12" t="str">
        <x:v>16M: tự build/cấu hình có nhiều biến thể long-tail; key chính chưa mạnh.</x:v>
      </x:c>
      <x:c r="Q4" s="12" t="str">
        <x:v>3M: tự build pc 3 click / 129 hiển thị / vị trí 18; tự build cấu hình pc 1 click / 37 hiển thị / vị trí 21,9</x:v>
      </x:c>
      <x:c r="R4" s="12" t="str">
        <x:v>Key còn yếu nhưng hỗ trợ semantic cho cụm Build PC.</x:v>
      </x:c>
      <x:c r="S4" s="12" t="str">
        <x:v>/blogs/huong-dan/tu-build-pc-can-luu-y-gi</x:v>
      </x:c>
      <x:c r="T4" s="12" t="str">
        <x:v>/pages/xay-dung-cau-hinh</x:v>
      </x:c>
      <x:c r="U4" s="12" t="str">
        <x:v>tự build PC; công cụ build PC online; kiểm tra cấu hình PC</x:v>
      </x:c>
      <x:c r="V4" s="12" t="str">
        <x:v>Gửi cấu hình cho kỹ thuật Sintech rà lại trước khi mua.</x:v>
      </x:c>
      <x:c r="W4" s="12" t="str">
        <x:v>H2 Sai socket CPU/Main | H2 Nguồn thiếu công suất | H2 Case không vừa VGA | H2 RAM không tương thích | H2 Checklist trước khi mua</x:v>
      </x:c>
      <x:c r="X4" s="12" t="str">
        <x:v>Checklist tải về; ảnh minh họa lỗi lắp ráp; liên kết sản phẩm phù hợp.</x:v>
      </x:c>
      <x:c r="Y4" s="12" t="str">
        <x:v>Article + FAQPage</x:v>
      </x:c>
      <x:c r="Z4" s="12" t="n">
        <x:v>1800</x:v>
      </x:c>
      <x:c r="AA4" s="12" t="n">
        <x:v>4</x:v>
      </x:c>
      <x:c r="AB4" s="12" t="n">
        <x:v>4</x:v>
      </x:c>
      <x:c r="AC4" s="12" t="n">
        <x:v>3</x:v>
      </x:c>
      <x:c r="AD4" s="12" t="str">
        <x:v>Thấp</x:v>
      </x:c>
      <x:c r="AE4" s="12" t="n">
        <x:f>ROUND(((AA4*0.45)+(AB4*0.40)+(MAX(1,6-AC4)*0.15))*20,0)</x:f>
        <x:v>77</x:v>
      </x:c>
      <x:c r="AF4" s="12" t="str">
        <x:v>Chưa viết</x:v>
      </x:c>
      <x:c r="AG4" s="12" t="str">
        <x:v>Sintech SEO</x:v>
      </x:c>
      <x:c r="AH4" s="14" t="n">
        <x:v>46196</x:v>
      </x:c>
      <x:c r="AI4" s="14" t="n">
        <x:v>46199</x:v>
      </x:c>
      <x:c r="AJ4" s="12" t="str">
        <x:v>Click / Impression / Vị trí / CTR theo URL sau 14-28 ngày</x:v>
      </x:c>
      <x:c r="AK4" s="12" t="str"/>
    </x:row>
    <x:row r="5">
      <x:c r="A5" s="12" t="str">
        <x:v>BLG-004</x:v>
      </x:c>
      <x:c r="B5" s="12" t="str">
        <x:v>GĐ1 - Mở rộng ngân sách</x:v>
      </x:c>
      <x:c r="C5" s="12" t="n">
        <x:v>2</x:v>
      </x:c>
      <x:c r="D5" s="14" t="n">
        <x:v>46201</x:v>
      </x:c>
      <x:c r="E5" s="12" t="str">
        <x:v>Build PC</x:v>
      </x:c>
      <x:c r="F5" s="12" t="str">
        <x:v>A1</x:v>
      </x:c>
      <x:c r="G5" s="12" t="str">
        <x:v>Commercial Investigation</x:v>
      </x:c>
      <x:c r="H5" s="12" t="str">
        <x:v>MOFU</x:v>
      </x:c>
      <x:c r="I5" s="12" t="str">
        <x:v>Build PC Gaming Theo Ngân Sách: 15, 20, 30, 40 Triệu Nên Chọn Gì?</x:v>
      </x:c>
      <x:c r="J5" s="12" t="str">
        <x:v>Build PC Gaming Theo Ngân Sách 15-40 Triệu Nên Chọn Gì?</x:v>
      </x:c>
      <x:c r="K5" s="12" t="n">
        <x:f>LEN(J5)</x:f>
        <x:v>55</x:v>
      </x:c>
      <x:c r="L5" s="12" t="str">
        <x:v>Gợi ý build PC gaming theo ngân sách 15, 20, 30, 40 triệu; chọn CPU, VGA, RAM, SSD phù hợp và link sang tool Build PC Sintech.</x:v>
      </x:c>
      <x:c r="M5" s="12" t="n">
        <x:f>LEN(L5)</x:f>
        <x:v>126</x:v>
      </x:c>
      <x:c r="N5" s="12" t="str">
        <x:v>build pc gaming</x:v>
      </x:c>
      <x:c r="O5" s="12" t="str">
        <x:v>build pc 15 triệu, build pc 20 triệu, build pc 30 triệu, build pc 40 triệu, pc gaming</x:v>
      </x:c>
      <x:c r="P5" s="12" t="str">
        <x:v>16M: pc gaming 24 click / 1.925 hiển thị / vị trí 38,7 nhưng intent rộng.</x:v>
      </x:c>
      <x:c r="Q5" s="12" t="str">
        <x:v>3M: build pc và biến thể ngân sách cần bài vệ tinh để đẩy tool.</x:v>
      </x:c>
      <x:c r="R5" s="12" t="str">
        <x:v>Bài tổng ngân sách giúp tạo hub cho các bài chi tiết.</x:v>
      </x:c>
      <x:c r="S5" s="12" t="str">
        <x:v>/blogs/huong-dan/build-pc-gaming-theo-ngan-sach</x:v>
      </x:c>
      <x:c r="T5" s="12" t="str">
        <x:v>/pages/xay-dung-cau-hinh</x:v>
      </x:c>
      <x:c r="U5" s="12" t="str">
        <x:v>build PC gaming theo ngân sách; tự chọn cấu hình gaming; build PC online</x:v>
      </x:c>
      <x:c r="V5" s="12" t="str">
        <x:v>Chọn cấu hình gaming theo ngân sách bằng tool Sintech.</x:v>
      </x:c>
      <x:c r="W5" s="12" t="str">
        <x:v>H2 Cách chia ngân sách | H2 15 triệu | H2 20 triệu | H2 30 triệu | H2 40 triệu | H2 Nên nâng cấp gì trước?</x:v>
      </x:c>
      <x:c r="X5" s="12" t="str">
        <x:v>Bảng cấu hình tham khảo; ảnh bộ PC thật; note giá thay đổi theo tồn kho.</x:v>
      </x:c>
      <x:c r="Y5" s="12" t="str">
        <x:v>Article + FAQPage</x:v>
      </x:c>
      <x:c r="Z5" s="12" t="n">
        <x:v>2400</x:v>
      </x:c>
      <x:c r="AA5" s="12" t="n">
        <x:v>5</x:v>
      </x:c>
      <x:c r="AB5" s="12" t="n">
        <x:v>5</x:v>
      </x:c>
      <x:c r="AC5" s="12" t="n">
        <x:v>4</x:v>
      </x:c>
      <x:c r="AD5" s="12" t="str">
        <x:v>Thấp</x:v>
      </x:c>
      <x:c r="AE5" s="12" t="n">
        <x:f>ROUND(((AA5*0.45)+(AB5*0.40)+(MAX(1,6-AC5)*0.15))*20,0)</x:f>
        <x:v>91</x:v>
      </x:c>
      <x:c r="AF5" s="12" t="str">
        <x:v>Chưa viết</x:v>
      </x:c>
      <x:c r="AG5" s="12" t="str">
        <x:v>Sintech SEO</x:v>
      </x:c>
      <x:c r="AH5" s="14" t="n">
        <x:v>46198</x:v>
      </x:c>
      <x:c r="AI5" s="14" t="n">
        <x:v>46201</x:v>
      </x:c>
      <x:c r="AJ5" s="12" t="str">
        <x:v>Click / Impression / Vị trí / CTR theo URL sau 14-28 ngày</x:v>
      </x:c>
      <x:c r="AK5" s="12" t="str"/>
    </x:row>
    <x:row r="6">
      <x:c r="A6" s="12" t="str">
        <x:v>BLG-005</x:v>
      </x:c>
      <x:c r="B6" s="12" t="str">
        <x:v>GĐ1 - Mở rộng ngân sách</x:v>
      </x:c>
      <x:c r="C6" s="12" t="n">
        <x:v>2</x:v>
      </x:c>
      <x:c r="D6" s="14" t="n">
        <x:v>46203</x:v>
      </x:c>
      <x:c r="E6" s="12" t="str">
        <x:v>Build PC</x:v>
      </x:c>
      <x:c r="F6" s="12" t="str">
        <x:v>A2</x:v>
      </x:c>
      <x:c r="G6" s="12" t="str">
        <x:v>Commercial</x:v>
      </x:c>
      <x:c r="H6" s="12" t="str">
        <x:v>MOFU/BOFU</x:v>
      </x:c>
      <x:c r="I6" s="12" t="str">
        <x:v>Build PC 15 Triệu Chơi Game Mượt: Cấu Hình Tối Ưu Cho Học Sinh, Sinh Viên</x:v>
      </x:c>
      <x:c r="J6" s="12" t="str">
        <x:v>Build PC 15 Triệu Chơi Game Mượt, Tối Ưu Ngân Sách</x:v>
      </x:c>
      <x:c r="K6" s="12" t="n">
        <x:f>LEN(J6)</x:f>
        <x:v>50</x:v>
      </x:c>
      <x:c r="L6" s="12" t="str">
        <x:v>Gợi ý build PC 15 triệu cho game online, học tập và làm việc; chọn CPU, VGA, RAM, SSD hợp lý và dễ nâng cấp.</x:v>
      </x:c>
      <x:c r="M6" s="12" t="n">
        <x:f>LEN(L6)</x:f>
        <x:v>108</x:v>
      </x:c>
      <x:c r="N6" s="12" t="str">
        <x:v>build pc 15 triệu</x:v>
      </x:c>
      <x:c r="O6" s="12" t="str">
        <x:v>pc gaming giá rẻ, build pc giá rẻ, cấu hình pc 15 triệu, build pc chơi game giá rẻ</x:v>
      </x:c>
      <x:c r="P6" s="12" t="str">
        <x:v>16M: build pc có 36.956 hiển thị, vị trí 10; cần long-tail ngân sách.</x:v>
      </x:c>
      <x:c r="Q6" s="12" t="str">
        <x:v>3M: build pc 5.320 hiển thị, vị trí 11,5; bài ngân sách giúp kéo intent mua.</x:v>
      </x:c>
      <x:c r="R6" s="12" t="str">
        <x:v>Long-tail dễ chuyển đổi hơn key rộng.</x:v>
      </x:c>
      <x:c r="S6" s="12" t="str">
        <x:v>/blogs/huong-dan/build-pc-15-trieu</x:v>
      </x:c>
      <x:c r="T6" s="12" t="str">
        <x:v>/pages/xay-dung-cau-hinh</x:v>
      </x:c>
      <x:c r="U6" s="12" t="str">
        <x:v>build PC 15 triệu; cấu hình PC 15 triệu; tool Build PC Sintech</x:v>
      </x:c>
      <x:c r="V6" s="12" t="str">
        <x:v>Tự chỉnh cấu hình 15 triệu và kiểm tra giá tại Sintech.</x:v>
      </x:c>
      <x:c r="W6" s="12" t="str">
        <x:v>H2 15 triệu phù hợp game nào? | H2 Cấu hình đề xuất | H2 Có nên dùng VGA cũ? | H2 Lộ trình nâng cấp | H2 FAQ</x:v>
      </x:c>
      <x:c r="X6" s="12" t="str">
        <x:v>Gắn sản phẩm có sẵn; bảng FPS tham khảo nếu có test nội bộ.</x:v>
      </x:c>
      <x:c r="Y6" s="12" t="str">
        <x:v>Article + Product/FAQ</x:v>
      </x:c>
      <x:c r="Z6" s="12" t="n">
        <x:v>1600</x:v>
      </x:c>
      <x:c r="AA6" s="12" t="n">
        <x:v>4</x:v>
      </x:c>
      <x:c r="AB6" s="12" t="n">
        <x:v>5</x:v>
      </x:c>
      <x:c r="AC6" s="12" t="n">
        <x:v>3</x:v>
      </x:c>
      <x:c r="AD6" s="12" t="str">
        <x:v>Thấp</x:v>
      </x:c>
      <x:c r="AE6" s="12" t="n">
        <x:f>ROUND(((AA6*0.45)+(AB6*0.40)+(MAX(1,6-AC6)*0.15))*20,0)</x:f>
        <x:v>85</x:v>
      </x:c>
      <x:c r="AF6" s="12" t="str">
        <x:v>Chưa viết</x:v>
      </x:c>
      <x:c r="AG6" s="12" t="str">
        <x:v>Sintech SEO</x:v>
      </x:c>
      <x:c r="AH6" s="14" t="n">
        <x:v>46200</x:v>
      </x:c>
      <x:c r="AI6" s="14" t="n">
        <x:v>46203</x:v>
      </x:c>
      <x:c r="AJ6" s="12" t="str">
        <x:v>Click / Impression / Vị trí / CTR theo URL sau 14-28 ngày</x:v>
      </x:c>
      <x:c r="AK6" s="12" t="str"/>
    </x:row>
    <x:row r="7">
      <x:c r="A7" s="12" t="str">
        <x:v>BLG-006</x:v>
      </x:c>
      <x:c r="B7" s="12" t="str">
        <x:v>GĐ1 - Mở rộng ngân sách</x:v>
      </x:c>
      <x:c r="C7" s="12" t="n">
        <x:v>3</x:v>
      </x:c>
      <x:c r="D7" s="14" t="n">
        <x:v>46206</x:v>
      </x:c>
      <x:c r="E7" s="12" t="str">
        <x:v>Build PC</x:v>
      </x:c>
      <x:c r="F7" s="12" t="str">
        <x:v>A2</x:v>
      </x:c>
      <x:c r="G7" s="12" t="str">
        <x:v>Commercial</x:v>
      </x:c>
      <x:c r="H7" s="12" t="str">
        <x:v>MOFU/BOFU</x:v>
      </x:c>
      <x:c r="I7" s="12" t="str">
        <x:v>Build PC 20 Triệu: Cấu Hình Gaming Full HD, 2K Đáng Mua</x:v>
      </x:c>
      <x:c r="J7" s="12" t="str">
        <x:v>Build PC 20 Triệu Gaming Full HD, 2K Đáng Mua</x:v>
      </x:c>
      <x:c r="K7" s="12" t="n">
        <x:f>LEN(J7)</x:f>
        <x:v>45</x:v>
      </x:c>
      <x:c r="L7" s="12" t="str">
        <x:v>Cấu hình build PC 20 triệu cho gaming Full HD, 2K nhẹ, học tập và làm việc; gợi ý linh kiện cân bằng hiệu năng.</x:v>
      </x:c>
      <x:c r="M7" s="12" t="n">
        <x:f>LEN(L7)</x:f>
        <x:v>111</x:v>
      </x:c>
      <x:c r="N7" s="12" t="str">
        <x:v>build pc 20 triệu</x:v>
      </x:c>
      <x:c r="O7" s="12" t="str">
        <x:v>pc gaming 20 triệu, cấu hình pc 20 triệu, build pc gaming 20 triệu</x:v>
      </x:c>
      <x:c r="P7" s="12" t="str">
        <x:v>16M: cụm build pc rộng có hiển thị cao, cần bài theo ngân sách.</x:v>
      </x:c>
      <x:c r="Q7" s="12" t="str">
        <x:v>3M: build pc đang vị trí 11,5; bài 20 triệu có khả năng chuyển đổi tốt.</x:v>
      </x:c>
      <x:c r="R7" s="12" t="str">
        <x:v>Nội dung BOFU, dễ tạo đơn build trọn bộ.</x:v>
      </x:c>
      <x:c r="S7" s="12" t="str">
        <x:v>/blogs/huong-dan/build-pc-20-trieu</x:v>
      </x:c>
      <x:c r="T7" s="12" t="str">
        <x:v>/pages/xay-dung-cau-hinh</x:v>
      </x:c>
      <x:c r="U7" s="12" t="str">
        <x:v>build PC 20 triệu; tự build PC 20 triệu; cấu hình gaming 20 triệu</x:v>
      </x:c>
      <x:c r="V7" s="12" t="str">
        <x:v>Tạo cấu hình 20 triệu bằng tool Build PC và gửi kỹ thuật kiểm tra.</x:v>
      </x:c>
      <x:c r="W7" s="12" t="str">
        <x:v>H2 Mục tiêu hiệu năng | H2 Cấu hình đề xuất | H2 CPU/VGA nên ưu tiên | H2 Có nên chọn RTX 4060 cũ? | H2 FAQ</x:v>
      </x:c>
      <x:c r="X7" s="12" t="str">
        <x:v>Bảng linh kiện thay thế; ảnh sản phẩm thật; note bảo hành.</x:v>
      </x:c>
      <x:c r="Y7" s="12" t="str">
        <x:v>Article + Product/FAQ</x:v>
      </x:c>
      <x:c r="Z7" s="12" t="n">
        <x:v>1700</x:v>
      </x:c>
      <x:c r="AA7" s="12" t="n">
        <x:v>4</x:v>
      </x:c>
      <x:c r="AB7" s="12" t="n">
        <x:v>5</x:v>
      </x:c>
      <x:c r="AC7" s="12" t="n">
        <x:v>3</x:v>
      </x:c>
      <x:c r="AD7" s="12" t="str">
        <x:v>Thấp</x:v>
      </x:c>
      <x:c r="AE7" s="12" t="n">
        <x:f>ROUND(((AA7*0.45)+(AB7*0.40)+(MAX(1,6-AC7)*0.15))*20,0)</x:f>
        <x:v>85</x:v>
      </x:c>
      <x:c r="AF7" s="12" t="str">
        <x:v>Chưa viết</x:v>
      </x:c>
      <x:c r="AG7" s="12" t="str">
        <x:v>Sintech SEO</x:v>
      </x:c>
      <x:c r="AH7" s="14" t="n">
        <x:v>46203</x:v>
      </x:c>
      <x:c r="AI7" s="14" t="n">
        <x:v>46206</x:v>
      </x:c>
      <x:c r="AJ7" s="12" t="str">
        <x:v>Click / Impression / Vị trí / CTR theo URL sau 14-28 ngày</x:v>
      </x:c>
      <x:c r="AK7" s="12" t="str"/>
    </x:row>
    <x:row r="8">
      <x:c r="A8" s="12" t="str">
        <x:v>BLG-007</x:v>
      </x:c>
      <x:c r="B8" s="12" t="str">
        <x:v>GĐ1 - Mở rộng ngân sách</x:v>
      </x:c>
      <x:c r="C8" s="12" t="n">
        <x:v>3</x:v>
      </x:c>
      <x:c r="D8" s="14" t="n">
        <x:v>46208</x:v>
      </x:c>
      <x:c r="E8" s="12" t="str">
        <x:v>Build PC</x:v>
      </x:c>
      <x:c r="F8" s="12" t="str">
        <x:v>A2</x:v>
      </x:c>
      <x:c r="G8" s="12" t="str">
        <x:v>Commercial</x:v>
      </x:c>
      <x:c r="H8" s="12" t="str">
        <x:v>MOFU/BOFU</x:v>
      </x:c>
      <x:c r="I8" s="12" t="str">
        <x:v>Build PC 30 Triệu: Cấu Hình Gaming, Stream Và Đồ Họa Bán Chuyên</x:v>
      </x:c>
      <x:c r="J8" s="12" t="str">
        <x:v>Build PC 30 Triệu Cho Gaming, Stream Và Đồ Họa</x:v>
      </x:c>
      <x:c r="K8" s="12" t="n">
        <x:f>LEN(J8)</x:f>
        <x:v>46</x:v>
      </x:c>
      <x:c r="L8" s="12" t="str">
        <x:v>Gợi ý build PC 30 triệu cân bằng gaming, stream, Photoshop, Premiere và đồ họa bán chuyên với linh kiện dễ nâng cấp.</x:v>
      </x:c>
      <x:c r="M8" s="12" t="n">
        <x:f>LEN(L8)</x:f>
        <x:v>116</x:v>
      </x:c>
      <x:c r="N8" s="12" t="str">
        <x:v>build pc 30 triệu</x:v>
      </x:c>
      <x:c r="O8" s="12" t="str">
        <x:v>cấu hình pc 30 triệu, pc gaming 30 triệu, build pc stream, pc đồ họa 30 triệu</x:v>
      </x:c>
      <x:c r="P8" s="12" t="str">
        <x:v>16M: nhu cầu Build PC cao cấp cần nội dung hỗ trợ trang tool.</x:v>
      </x:c>
      <x:c r="Q8" s="12" t="str">
        <x:v>3M: build pc rộng còn nhiều hiển thị chưa ăn top.</x:v>
      </x:c>
      <x:c r="R8" s="12" t="str">
        <x:v>Tăng giá trị đơn hàng trung bình.</x:v>
      </x:c>
      <x:c r="S8" s="12" t="str">
        <x:v>/blogs/huong-dan/build-pc-30-trieu</x:v>
      </x:c>
      <x:c r="T8" s="12" t="str">
        <x:v>/pages/xay-dung-cau-hinh</x:v>
      </x:c>
      <x:c r="U8" s="12" t="str">
        <x:v>build PC 30 triệu; cấu hình PC gaming 30 triệu; build PC đồ họa</x:v>
      </x:c>
      <x:c r="V8" s="12" t="str">
        <x:v>Dùng tool Build PC để tùy chỉnh cấu hình 30 triệu.</x:v>
      </x:c>
      <x:c r="W8" s="12" t="str">
        <x:v>H2 Ai nên chọn mức 30 triệu? | H2 Cấu hình gaming | H2 Cấu hình đồ họa | H2 Nâng cấp tương lai | H2 FAQ</x:v>
      </x:c>
      <x:c r="X8" s="12" t="str">
        <x:v>Bảng linh kiện thay thế theo tồn kho; ảnh build thực tế.</x:v>
      </x:c>
      <x:c r="Y8" s="12" t="str">
        <x:v>Article + Product/FAQ</x:v>
      </x:c>
      <x:c r="Z8" s="12" t="n">
        <x:v>1700</x:v>
      </x:c>
      <x:c r="AA8" s="12" t="n">
        <x:v>4</x:v>
      </x:c>
      <x:c r="AB8" s="12" t="n">
        <x:v>5</x:v>
      </x:c>
      <x:c r="AC8" s="12" t="n">
        <x:v>3</x:v>
      </x:c>
      <x:c r="AD8" s="12" t="str">
        <x:v>Thấp</x:v>
      </x:c>
      <x:c r="AE8" s="12" t="n">
        <x:f>ROUND(((AA8*0.45)+(AB8*0.40)+(MAX(1,6-AC8)*0.15))*20,0)</x:f>
        <x:v>85</x:v>
      </x:c>
      <x:c r="AF8" s="12" t="str">
        <x:v>Chưa viết</x:v>
      </x:c>
      <x:c r="AG8" s="12" t="str">
        <x:v>Sintech SEO</x:v>
      </x:c>
      <x:c r="AH8" s="14" t="n">
        <x:v>46205</x:v>
      </x:c>
      <x:c r="AI8" s="14" t="n">
        <x:v>46208</x:v>
      </x:c>
      <x:c r="AJ8" s="12" t="str">
        <x:v>Click / Impression / Vị trí / CTR theo URL sau 14-28 ngày</x:v>
      </x:c>
      <x:c r="AK8" s="12" t="str"/>
    </x:row>
    <x:row r="9">
      <x:c r="A9" s="12" t="str">
        <x:v>BLG-008</x:v>
      </x:c>
      <x:c r="B9" s="12" t="str">
        <x:v>GĐ1 - Mở rộng ngân sách</x:v>
      </x:c>
      <x:c r="C9" s="12" t="n">
        <x:v>3</x:v>
      </x:c>
      <x:c r="D9" s="14" t="n">
        <x:v>46210</x:v>
      </x:c>
      <x:c r="E9" s="12" t="str">
        <x:v>Build PC</x:v>
      </x:c>
      <x:c r="F9" s="12" t="str">
        <x:v>A2</x:v>
      </x:c>
      <x:c r="G9" s="12" t="str">
        <x:v>Commercial</x:v>
      </x:c>
      <x:c r="H9" s="12" t="str">
        <x:v>MOFU/BOFU</x:v>
      </x:c>
      <x:c r="I9" s="12" t="str">
        <x:v>Build PC 40 Triệu: Cấu Hình Cao Cấp Cho Gaming 2K, Đồ Họa Và AI</x:v>
      </x:c>
      <x:c r="J9" s="12" t="str">
        <x:v>Build PC 40 Triệu Cho Gaming 2K, Đồ Họa Và AI</x:v>
      </x:c>
      <x:c r="K9" s="12" t="n">
        <x:f>LEN(J9)</x:f>
        <x:v>45</x:v>
      </x:c>
      <x:c r="L9" s="12" t="str">
        <x:v>Cấu hình build PC 40 triệu cho gaming 2K, đồ họa, AI và làm việc nặng; gợi ý CPU, VGA, RAM, SSD tối ưu.</x:v>
      </x:c>
      <x:c r="M9" s="12" t="n">
        <x:f>LEN(L9)</x:f>
        <x:v>103</x:v>
      </x:c>
      <x:c r="N9" s="12" t="str">
        <x:v>build pc 40 triệu</x:v>
      </x:c>
      <x:c r="O9" s="12" t="str">
        <x:v>pc gaming 40 triệu, cấu hình pc cao cấp, build pc 2k, pc đồ họa ai</x:v>
      </x:c>
      <x:c r="P9" s="12" t="str">
        <x:v>16M: nhóm Build PC cần bài cao cấp để kéo đơn giá trị cao.</x:v>
      </x:c>
      <x:c r="Q9" s="12" t="str">
        <x:v>3M: Build PC vẫn có demand ổn định; tạo nội dung theo ngân sách cao.</x:v>
      </x:c>
      <x:c r="R9" s="12" t="str">
        <x:v>Tập trung doanh thu, ít cạnh tranh hơn key rộng.</x:v>
      </x:c>
      <x:c r="S9" s="12" t="str">
        <x:v>/blogs/huong-dan/build-pc-40-trieu</x:v>
      </x:c>
      <x:c r="T9" s="12" t="str">
        <x:v>/pages/xay-dung-cau-hinh</x:v>
      </x:c>
      <x:c r="U9" s="12" t="str">
        <x:v>build PC 40 triệu; cấu hình PC cao cấp; build PC AI</x:v>
      </x:c>
      <x:c r="V9" s="12" t="str">
        <x:v>Nhận tư vấn cấu hình cao cấp theo nhu cầu tại Sintech.</x:v>
      </x:c>
      <x:c r="W9" s="12" t="str">
        <x:v>H2 Nhu cầu phù hợp | H2 Cấu hình 2K | H2 Cấu hình đồ họa/AI | H2 Tản nhiệt/nguồn/case | H2 FAQ</x:v>
      </x:c>
      <x:c r="X9" s="12" t="str">
        <x:v>Ảnh build cao cấp thật; note bảo hành và test nhiệt.</x:v>
      </x:c>
      <x:c r="Y9" s="12" t="str">
        <x:v>Article + Product/FAQ</x:v>
      </x:c>
      <x:c r="Z9" s="12" t="n">
        <x:v>1800</x:v>
      </x:c>
      <x:c r="AA9" s="12" t="n">
        <x:v>4</x:v>
      </x:c>
      <x:c r="AB9" s="12" t="n">
        <x:v>5</x:v>
      </x:c>
      <x:c r="AC9" s="12" t="n">
        <x:v>3</x:v>
      </x:c>
      <x:c r="AD9" s="12" t="str">
        <x:v>Thấp</x:v>
      </x:c>
      <x:c r="AE9" s="12" t="n">
        <x:f>ROUND(((AA9*0.45)+(AB9*0.40)+(MAX(1,6-AC9)*0.15))*20,0)</x:f>
        <x:v>85</x:v>
      </x:c>
      <x:c r="AF9" s="12" t="str">
        <x:v>Chưa viết</x:v>
      </x:c>
      <x:c r="AG9" s="12" t="str">
        <x:v>Sintech SEO</x:v>
      </x:c>
      <x:c r="AH9" s="14" t="n">
        <x:v>46207</x:v>
      </x:c>
      <x:c r="AI9" s="14" t="n">
        <x:v>46210</x:v>
      </x:c>
      <x:c r="AJ9" s="12" t="str">
        <x:v>Click / Impression / Vị trí / CTR theo URL sau 14-28 ngày</x:v>
      </x:c>
      <x:c r="AK9" s="12" t="str"/>
    </x:row>
    <x:row r="10">
      <x:c r="A10" s="12" t="str">
        <x:v>BLG-009</x:v>
      </x:c>
      <x:c r="B10" s="12" t="str">
        <x:v>GĐ2 - Theo nhu cầu</x:v>
      </x:c>
      <x:c r="C10" s="12" t="n">
        <x:v>4</x:v>
      </x:c>
      <x:c r="D10" s="14" t="n">
        <x:v>46213</x:v>
      </x:c>
      <x:c r="E10" s="12" t="str">
        <x:v>Build PC</x:v>
      </x:c>
      <x:c r="F10" s="12" t="str">
        <x:v>A2</x:v>
      </x:c>
      <x:c r="G10" s="12" t="str">
        <x:v>Commercial Investigation</x:v>
      </x:c>
      <x:c r="H10" s="12" t="str">
        <x:v>MOFU</x:v>
      </x:c>
      <x:c r="I10" s="12" t="str">
        <x:v>Build PC Văn Phòng Giá Rẻ: Cấu Hình Ổn Định Cho Học Tập Và Làm Việc</x:v>
      </x:c>
      <x:c r="J10" s="12" t="str">
        <x:v>Build PC Văn Phòng Giá Rẻ, Ổn Định Cho Làm Việc</x:v>
      </x:c>
      <x:c r="K10" s="12" t="n">
        <x:f>LEN(J10)</x:f>
        <x:v>47</x:v>
      </x:c>
      <x:c r="L10" s="12" t="str">
        <x:v>Gợi ý build PC văn phòng giá rẻ, ổn định cho học tập, kế toán, bán hàng và làm việc online; dễ nâng cấp SSD/RAM.</x:v>
      </x:c>
      <x:c r="M10" s="12" t="n">
        <x:f>LEN(L10)</x:f>
        <x:v>112</x:v>
      </x:c>
      <x:c r="N10" s="12" t="str">
        <x:v>build pc văn phòng</x:v>
      </x:c>
      <x:c r="O10" s="12" t="str">
        <x:v>pc văn phòng giá rẻ, case văn phòng, máy tính văn phòng, build pc học tập</x:v>
      </x:c>
      <x:c r="P10" s="12" t="str">
        <x:v>16M: case văn phòng có tín hiệu; Build PC rộng cần intent văn phòng.</x:v>
      </x:c>
      <x:c r="Q10" s="12" t="str">
        <x:v>3M: case văn phòng 1 click / 102 hiển thị / vị trí 4,3; có thể chuyển sang PC văn phòng.</x:v>
      </x:c>
      <x:c r="R10" s="12" t="str">
        <x:v>Traffic nhỏ nhưng đúng khách cần máy bộ/PC văn phòng.</x:v>
      </x:c>
      <x:c r="S10" s="12" t="str">
        <x:v>/blogs/huong-dan/build-pc-van-phong-gia-re</x:v>
      </x:c>
      <x:c r="T10" s="12" t="str">
        <x:v>/pages/xay-dung-cau-hinh</x:v>
      </x:c>
      <x:c r="U10" s="12" t="str">
        <x:v>build PC văn phòng; cấu hình PC văn phòng; PC làm việc</x:v>
      </x:c>
      <x:c r="V10" s="12" t="str">
        <x:v>Chọn cấu hình văn phòng bằng tool Build PC hoặc liên hệ Sintech tư vấn.</x:v>
      </x:c>
      <x:c r="W10" s="12" t="str">
        <x:v>H2 Nhu cầu văn phòng | H2 Cấu hình tiết kiệm | H2 SSD/RAM bao nhiêu đủ? | H2 Nên chọn mini PC hay PC lắp? | H2 FAQ</x:v>
      </x:c>
      <x:c r="X10" s="12" t="str">
        <x:v>Gắn dịch vụ cài Windows/Office; ảnh bàn giao thực tế.</x:v>
      </x:c>
      <x:c r="Y10" s="12" t="str">
        <x:v>Article + FAQ</x:v>
      </x:c>
      <x:c r="Z10" s="12" t="n">
        <x:v>1500</x:v>
      </x:c>
      <x:c r="AA10" s="12" t="n">
        <x:v>3</x:v>
      </x:c>
      <x:c r="AB10" s="12" t="n">
        <x:v>4</x:v>
      </x:c>
      <x:c r="AC10" s="12" t="n">
        <x:v>2</x:v>
      </x:c>
      <x:c r="AD10" s="12" t="str">
        <x:v>Thấp</x:v>
      </x:c>
      <x:c r="AE10" s="12" t="n">
        <x:f>ROUND(((AA10*0.45)+(AB10*0.40)+(MAX(1,6-AC10)*0.15))*20,0)</x:f>
        <x:v>71</x:v>
      </x:c>
      <x:c r="AF10" s="12" t="str">
        <x:v>Chưa viết</x:v>
      </x:c>
      <x:c r="AG10" s="12" t="str">
        <x:v>Sintech SEO</x:v>
      </x:c>
      <x:c r="AH10" s="14" t="n">
        <x:v>46210</x:v>
      </x:c>
      <x:c r="AI10" s="14" t="n">
        <x:v>46213</x:v>
      </x:c>
      <x:c r="AJ10" s="12" t="str">
        <x:v>Click / Impression / Vị trí / CTR theo URL sau 14-28 ngày</x:v>
      </x:c>
      <x:c r="AK10" s="12" t="str"/>
    </x:row>
    <x:row r="11">
      <x:c r="A11" s="12" t="str">
        <x:v>BLG-010</x:v>
      </x:c>
      <x:c r="B11" s="12" t="str">
        <x:v>GĐ2 - Theo nhu cầu</x:v>
      </x:c>
      <x:c r="C11" s="12" t="n">
        <x:v>4</x:v>
      </x:c>
      <x:c r="D11" s="14" t="n">
        <x:v>46215</x:v>
      </x:c>
      <x:c r="E11" s="12" t="str">
        <x:v>Build PC</x:v>
      </x:c>
      <x:c r="F11" s="12" t="str">
        <x:v>A2</x:v>
      </x:c>
      <x:c r="G11" s="12" t="str">
        <x:v>Commercial Investigation</x:v>
      </x:c>
      <x:c r="H11" s="12" t="str">
        <x:v>MOFU</x:v>
      </x:c>
      <x:c r="I11" s="12" t="str">
        <x:v>Build PC Đồ Họa: Cách Chọn CPU, VGA, RAM, SSD Cho Photoshop, Premiere, AutoCAD</x:v>
      </x:c>
      <x:c r="J11" s="12" t="str">
        <x:v>Build PC Đồ Họa Cho Photoshop, Premiere, AutoCAD</x:v>
      </x:c>
      <x:c r="K11" s="12" t="n">
        <x:f>LEN(J11)</x:f>
        <x:v>48</x:v>
      </x:c>
      <x:c r="L11" s="12" t="str">
        <x:v>Hướng dẫn build PC đồ họa cho Photoshop, Premiere, AutoCAD; chọn CPU, VGA, RAM, SSD và màn hình phù hợp từng nhu cầu.</x:v>
      </x:c>
      <x:c r="M11" s="12" t="n">
        <x:f>LEN(L11)</x:f>
        <x:v>117</x:v>
      </x:c>
      <x:c r="N11" s="12" t="str">
        <x:v>build pc đồ họa</x:v>
      </x:c>
      <x:c r="O11" s="12" t="str">
        <x:v>pc đồ họa, pc photoshop, pc premiere, pc autocad, build pc autocad</x:v>
      </x:c>
      <x:c r="P11" s="12" t="str">
        <x:v>16M: AutoCAD có 19.003 hiển thị; có thể kéo sang nhu cầu PC đồ họa hợp lệ.</x:v>
      </x:c>
      <x:c r="Q11" s="12" t="str">
        <x:v>3M: AutoCAD 2021 có 636 hiển thị; cần nội dung liên quan cấu hình hợp pháp.</x:v>
      </x:c>
      <x:c r="R11" s="12" t="str">
        <x:v>Chuyển traffic phần mềm/AutoCAD sang nhu cầu build máy.</x:v>
      </x:c>
      <x:c r="S11" s="12" t="str">
        <x:v>/blogs/huong-dan/build-pc-do-hoa</x:v>
      </x:c>
      <x:c r="T11" s="12" t="str">
        <x:v>/pages/xay-dung-cau-hinh</x:v>
      </x:c>
      <x:c r="U11" s="12" t="str">
        <x:v>build PC đồ họa; cấu hình PC làm AutoCAD; PC Photoshop Premiere</x:v>
      </x:c>
      <x:c r="V11" s="12" t="str">
        <x:v>Gửi nhu cầu phần mềm để Sintech đề xuất cấu hình phù hợp.</x:v>
      </x:c>
      <x:c r="W11" s="12" t="str">
        <x:v>H2 Phần mềm quyết định cấu hình | H2 CPU/RAM | H2 VGA | H2 SSD/Màn hình | H2 Cấu hình theo cấp độ | H2 FAQ</x:v>
      </x:c>
      <x:c r="X11" s="12" t="str">
        <x:v>Dẫn link sản phẩm phần mềm bản quyền; ví dụ cấu hình theo app.</x:v>
      </x:c>
      <x:c r="Y11" s="12" t="str">
        <x:v>Article + FAQ</x:v>
      </x:c>
      <x:c r="Z11" s="12" t="n">
        <x:v>2200</x:v>
      </x:c>
      <x:c r="AA11" s="12" t="n">
        <x:v>5</x:v>
      </x:c>
      <x:c r="AB11" s="12" t="n">
        <x:v>5</x:v>
      </x:c>
      <x:c r="AC11" s="12" t="n">
        <x:v>4</x:v>
      </x:c>
      <x:c r="AD11" s="12" t="str">
        <x:v>Thấp</x:v>
      </x:c>
      <x:c r="AE11" s="12" t="n">
        <x:f>ROUND(((AA11*0.45)+(AB11*0.40)+(MAX(1,6-AC11)*0.15))*20,0)</x:f>
        <x:v>91</x:v>
      </x:c>
      <x:c r="AF11" s="12" t="str">
        <x:v>Chưa viết</x:v>
      </x:c>
      <x:c r="AG11" s="12" t="str">
        <x:v>Sintech SEO</x:v>
      </x:c>
      <x:c r="AH11" s="14" t="n">
        <x:v>46212</x:v>
      </x:c>
      <x:c r="AI11" s="14" t="n">
        <x:v>46215</x:v>
      </x:c>
      <x:c r="AJ11" s="12" t="str">
        <x:v>Click / Impression / Vị trí / CTR theo URL sau 14-28 ngày</x:v>
      </x:c>
      <x:c r="AK11" s="12" t="str"/>
    </x:row>
    <x:row r="12">
      <x:c r="A12" s="12" t="str">
        <x:v>BLG-011</x:v>
      </x:c>
      <x:c r="B12" s="12" t="str">
        <x:v>GĐ2 - Theo nhu cầu</x:v>
      </x:c>
      <x:c r="C12" s="12" t="n">
        <x:v>5</x:v>
      </x:c>
      <x:c r="D12" s="14" t="n">
        <x:v>46220</x:v>
      </x:c>
      <x:c r="E12" s="12" t="str">
        <x:v>Build PC</x:v>
      </x:c>
      <x:c r="F12" s="12" t="str">
        <x:v>B</x:v>
      </x:c>
      <x:c r="G12" s="12" t="str">
        <x:v>Informational + Commercial</x:v>
      </x:c>
      <x:c r="H12" s="12" t="str">
        <x:v>TOFU/MOFU</x:v>
      </x:c>
      <x:c r="I12" s="12" t="str">
        <x:v>Build PC AI Là Gì? Cấu Hình Máy Tính Cho AI, Render Và Data</x:v>
      </x:c>
      <x:c r="J12" s="12" t="str">
        <x:v>Build PC AI Là Gì? Cấu Hình Máy Tính Cho AI, Render</x:v>
      </x:c>
      <x:c r="K12" s="12" t="n">
        <x:f>LEN(J12)</x:f>
        <x:v>51</x:v>
      </x:c>
      <x:c r="L12" s="12" t="str">
        <x:v>Tìm hiểu build PC AI cần CPU, VGA, VRAM, RAM, SSD như thế nào; gợi ý cấu hình cho học AI, render và data.</x:v>
      </x:c>
      <x:c r="M12" s="12" t="n">
        <x:f>LEN(L12)</x:f>
        <x:v>105</x:v>
      </x:c>
      <x:c r="N12" s="12" t="str">
        <x:v>build pc ai</x:v>
      </x:c>
      <x:c r="O12" s="12" t="str">
        <x:v>pc ai, workstation ai, pc render, pc data, npu card for pc</x:v>
      </x:c>
      <x:c r="P12" s="12" t="str">
        <x:v>16M: có key NPU/card/AI lẻ; tiềm năng mở rộng danh mục Workstation.</x:v>
      </x:c>
      <x:c r="Q12" s="12" t="str">
        <x:v>3M: npu card for pc có xuất hiện long-tail; chưa lớn nhưng đúng xu hướng.</x:v>
      </x:c>
      <x:c r="R12" s="12" t="str">
        <x:v>Cụm tăng trưởng tương lai, nên làm sau khi ổn Build PC.</x:v>
      </x:c>
      <x:c r="S12" s="12" t="str">
        <x:v>/blogs/huong-dan/build-pc-ai</x:v>
      </x:c>
      <x:c r="T12" s="12" t="str">
        <x:v>/pages/xay-dung-cau-hinh</x:v>
      </x:c>
      <x:c r="U12" s="12" t="str">
        <x:v>build PC AI; cấu hình PC AI; workstation AI</x:v>
      </x:c>
      <x:c r="V12" s="12" t="str">
        <x:v>Tư vấn cấu hình AI theo phần mềm và ngân sách.</x:v>
      </x:c>
      <x:c r="W12" s="12" t="str">
        <x:v>H2 AI cần gì ở phần cứng? | H2 VRAM/RAM/SSD | H2 Cấu hình học AI | H2 Cấu hình render/data | H2 FAQ</x:v>
      </x:c>
      <x:c r="X12" s="12" t="str">
        <x:v>Thêm bảng VRAM theo tác vụ; hình workstation thật nếu có.</x:v>
      </x:c>
      <x:c r="Y12" s="12" t="str">
        <x:v>Article + FAQ</x:v>
      </x:c>
      <x:c r="Z12" s="12" t="n">
        <x:v>1900</x:v>
      </x:c>
      <x:c r="AA12" s="12" t="n">
        <x:v>3</x:v>
      </x:c>
      <x:c r="AB12" s="12" t="n">
        <x:v>4</x:v>
      </x:c>
      <x:c r="AC12" s="12" t="n">
        <x:v>4</x:v>
      </x:c>
      <x:c r="AD12" s="12" t="str">
        <x:v>Trung bình</x:v>
      </x:c>
      <x:c r="AE12" s="12" t="n">
        <x:f>ROUND(((AA12*0.45)+(AB12*0.40)+(MAX(1,6-AC12)*0.15))*20,0)</x:f>
        <x:v>65</x:v>
      </x:c>
      <x:c r="AF12" s="12" t="str">
        <x:v>Chưa viết</x:v>
      </x:c>
      <x:c r="AG12" s="12" t="str">
        <x:v>Sintech SEO</x:v>
      </x:c>
      <x:c r="AH12" s="14" t="n">
        <x:v>46217</x:v>
      </x:c>
      <x:c r="AI12" s="14" t="n">
        <x:v>46220</x:v>
      </x:c>
      <x:c r="AJ12" s="12" t="str">
        <x:v>Click / Impression / Vị trí / CTR theo URL sau 14-28 ngày</x:v>
      </x:c>
      <x:c r="AK12" s="12" t="str"/>
    </x:row>
    <x:row r="13">
      <x:c r="A13" s="12" t="str">
        <x:v>BLG-012</x:v>
      </x:c>
      <x:c r="B13" s="12" t="str">
        <x:v>GĐ2 - Theo nhu cầu</x:v>
      </x:c>
      <x:c r="C13" s="12" t="n">
        <x:v>5</x:v>
      </x:c>
      <x:c r="D13" s="14" t="n">
        <x:v>46222</x:v>
      </x:c>
      <x:c r="E13" s="12" t="str">
        <x:v>Build PC</x:v>
      </x:c>
      <x:c r="F13" s="12" t="str">
        <x:v>B</x:v>
      </x:c>
      <x:c r="G13" s="12" t="str">
        <x:v>Commercial Investigation</x:v>
      </x:c>
      <x:c r="H13" s="12" t="str">
        <x:v>MOFU</x:v>
      </x:c>
      <x:c r="I13" s="12" t="str">
        <x:v>Build PC Chơi Game 2K: Nên Chọn RTX 4060 Ti, RTX 4070 Hay RTX 5060?</x:v>
      </x:c>
      <x:c r="J13" s="12" t="str">
        <x:v>Build PC Chơi Game 2K Nên Chọn RTX 4060 Ti, 4070, 5060?</x:v>
      </x:c>
      <x:c r="K13" s="12" t="n">
        <x:f>LEN(J13)</x:f>
        <x:v>55</x:v>
      </x:c>
      <x:c r="L13" s="12" t="str">
        <x:v>Tư vấn build PC chơi game 2K, so sánh RTX 4060 Ti, RTX 4070, RTX 5060 và cách chọn CPU, RAM, màn hình phù hợp.</x:v>
      </x:c>
      <x:c r="M13" s="12" t="n">
        <x:f>LEN(L13)</x:f>
        <x:v>110</x:v>
      </x:c>
      <x:c r="N13" s="12" t="str">
        <x:v>build pc chơi game 2k</x:v>
      </x:c>
      <x:c r="O13" s="12" t="str">
        <x:v>rtx 4060 cũ, rtx 4070 cũ, rtx 5060, laptop rtx 5060, 2k gaming</x:v>
      </x:c>
      <x:c r="P13" s="12" t="str">
        <x:v>16M: rtx 4070 cũ 186 click / 3.204 hiển thị; rtx 4060 cũ 106 click / 1.541 hiển thị.</x:v>
      </x:c>
      <x:c r="Q13" s="12" t="str">
        <x:v>3M: rtx 4060 cũ 27 click / 271 hiển thị / vị trí 4,4; rtx 4070 cũ 9 click / 129 hiển thị.</x:v>
      </x:c>
      <x:c r="R13" s="12" t="str">
        <x:v>Gom ý định VGA cũ vào Build PC gaming.</x:v>
      </x:c>
      <x:c r="S13" s="12" t="str">
        <x:v>/blogs/huong-dan/build-pc-choi-game-2k</x:v>
      </x:c>
      <x:c r="T13" s="12" t="str">
        <x:v>/pages/xay-dung-cau-hinh</x:v>
      </x:c>
      <x:c r="U13" s="12" t="str">
        <x:v>build PC chơi game 2K; chọn VGA chơi game 2K; build PC RTX 4060</x:v>
      </x:c>
      <x:c r="V13" s="12" t="str">
        <x:v>Chọn VGA và cấu hình 2K bằng tool Build PC Sintech.</x:v>
      </x:c>
      <x:c r="W13" s="12" t="str">
        <x:v>H2 2K cần VGA nào? | H2 So sánh 4060 Ti/4070/5060 | H2 CPU đi kèm | H2 Màn hình phù hợp | H2 FAQ</x:v>
      </x:c>
      <x:c r="X13" s="12" t="str">
        <x:v>Bảng so sánh FPS tham khảo; link collection VGA cũ.</x:v>
      </x:c>
      <x:c r="Y13" s="12" t="str">
        <x:v>Article + FAQ</x:v>
      </x:c>
      <x:c r="Z13" s="12" t="n">
        <x:v>2000</x:v>
      </x:c>
      <x:c r="AA13" s="12" t="n">
        <x:v>4</x:v>
      </x:c>
      <x:c r="AB13" s="12" t="n">
        <x:v>5</x:v>
      </x:c>
      <x:c r="AC13" s="12" t="n">
        <x:v>4</x:v>
      </x:c>
      <x:c r="AD13" s="12" t="str">
        <x:v>Trung bình</x:v>
      </x:c>
      <x:c r="AE13" s="12" t="n">
        <x:f>ROUND(((AA13*0.45)+(AB13*0.40)+(MAX(1,6-AC13)*0.15))*20,0)</x:f>
        <x:v>82</x:v>
      </x:c>
      <x:c r="AF13" s="12" t="str">
        <x:v>Chưa viết</x:v>
      </x:c>
      <x:c r="AG13" s="12" t="str">
        <x:v>Sintech SEO</x:v>
      </x:c>
      <x:c r="AH13" s="14" t="n">
        <x:v>46219</x:v>
      </x:c>
      <x:c r="AI13" s="14" t="n">
        <x:v>46222</x:v>
      </x:c>
      <x:c r="AJ13" s="12" t="str">
        <x:v>Click / Impression / Vị trí / CTR theo URL sau 14-28 ngày</x:v>
      </x:c>
      <x:c r="AK13" s="12" t="str"/>
    </x:row>
    <x:row r="14">
      <x:c r="A14" s="12" t="str">
        <x:v>BLG-013</x:v>
      </x:c>
      <x:c r="B14" s="12" t="str">
        <x:v>GĐ3 - Ra đơn linh kiện</x:v>
      </x:c>
      <x:c r="C14" s="12" t="n">
        <x:v>3</x:v>
      </x:c>
      <x:c r="D14" s="14" t="n">
        <x:v>46211</x:v>
      </x:c>
      <x:c r="E14" s="12" t="str">
        <x:v>Linh kiện cũ</x:v>
      </x:c>
      <x:c r="F14" s="12" t="str">
        <x:v>A1</x:v>
      </x:c>
      <x:c r="G14" s="12" t="str">
        <x:v>Commercial Investigation</x:v>
      </x:c>
      <x:c r="H14" s="12" t="str">
        <x:v>MOFU/BOFU</x:v>
      </x:c>
      <x:c r="I14" s="12" t="str">
        <x:v>Có Nên Mua SSD Cũ Không? Kinh Nghiệm Chọn SSD Cũ Bền, Ít Lỗi</x:v>
      </x:c>
      <x:c r="J14" s="12" t="str">
        <x:v>Có Nên Mua SSD Cũ? Kinh Nghiệm Chọn SSD Cũ</x:v>
      </x:c>
      <x:c r="K14" s="12" t="n">
        <x:f>LEN(J14)</x:f>
        <x:v>42</x:v>
      </x:c>
      <x:c r="L14" s="12" t="str">
        <x:v>Có nên mua SSD cũ không? Xem cách kiểm tra sức khỏe SSD, dung lượng, chuẩn SATA/NVMe, bảo hành và nơi mua uy tín.</x:v>
      </x:c>
      <x:c r="M14" s="12" t="n">
        <x:f>LEN(L14)</x:f>
        <x:v>113</x:v>
      </x:c>
      <x:c r="N14" s="12" t="str">
        <x:v>ssd cũ</x:v>
      </x:c>
      <x:c r="O14" s="12" t="str">
        <x:v>ổ cứng ssd cũ, ổ ssd cũ, ssd cũ giá rẻ, mua ssd cũ, ssd 256gb cũ, ssd 512gb cũ, ssd 1tb cũ</x:v>
      </x:c>
      <x:c r="P14" s="12" t="str">
        <x:v>16M: ssd cũ 166 click / 1.650 hiển thị / vị trí 8,2</x:v>
      </x:c>
      <x:c r="Q14" s="12" t="str">
        <x:v>3M: ssd cũ 69 click / 519 hiển thị / CTR 13,3% / vị trí 6,6</x:v>
      </x:c>
      <x:c r="R14" s="12" t="str">
        <x:v>Key đang cải thiện vị trí và CTR; ưu tiên cao để ra đơn.</x:v>
      </x:c>
      <x:c r="S14" s="12" t="str">
        <x:v>/blogs/kinh-nghiem/co-nen-mua-ssd-cu</x:v>
      </x:c>
      <x:c r="T14" s="12" t="str">
        <x:v>/collections/ssd-cu</x:v>
      </x:c>
      <x:c r="U14" s="12" t="str">
        <x:v>ssd cũ; ổ cứng SSD cũ; mua SSD cũ tại Sintech</x:v>
      </x:c>
      <x:c r="V14" s="12" t="str">
        <x:v>Xem SSD cũ đang có hàng và nhờ kỹ thuật Sintech kiểm tra trước khi mua.</x:v>
      </x:c>
      <x:c r="W14" s="12" t="str">
        <x:v>H2 SSD cũ có rủi ro gì? | H2 Cách check health | H2 SATA/NVMe | H2 Dung lượng nên chọn | H2 Chính sách bảo hành</x:v>
      </x:c>
      <x:c r="X14" s="12" t="str">
        <x:v>Ảnh CrystalDiskInfo thật; ảnh tem bảo hành; bảng checklist test.</x:v>
      </x:c>
      <x:c r="Y14" s="12" t="str">
        <x:v>Article + FAQ</x:v>
      </x:c>
      <x:c r="Z14" s="12" t="n">
        <x:v>1800</x:v>
      </x:c>
      <x:c r="AA14" s="12" t="n">
        <x:v>5</x:v>
      </x:c>
      <x:c r="AB14" s="12" t="n">
        <x:v>5</x:v>
      </x:c>
      <x:c r="AC14" s="12" t="n">
        <x:v>3</x:v>
      </x:c>
      <x:c r="AD14" s="12" t="str">
        <x:v>Thấp</x:v>
      </x:c>
      <x:c r="AE14" s="12" t="n">
        <x:f>ROUND(((AA14*0.45)+(AB14*0.40)+(MAX(1,6-AC14)*0.15))*20,0)</x:f>
        <x:v>94</x:v>
      </x:c>
      <x:c r="AF14" s="12" t="str">
        <x:v>Chưa viết</x:v>
      </x:c>
      <x:c r="AG14" s="12" t="str">
        <x:v>Sintech SEO</x:v>
      </x:c>
      <x:c r="AH14" s="14" t="n">
        <x:v>46208</x:v>
      </x:c>
      <x:c r="AI14" s="14" t="n">
        <x:v>46211</x:v>
      </x:c>
      <x:c r="AJ14" s="12" t="str">
        <x:v>Click / Impression / Vị trí / CTR theo URL sau 14-28 ngày</x:v>
      </x:c>
      <x:c r="AK14" s="12" t="str"/>
    </x:row>
    <x:row r="15">
      <x:c r="A15" s="12" t="str">
        <x:v>BLG-014</x:v>
      </x:c>
      <x:c r="B15" s="12" t="str">
        <x:v>GĐ3 - Ra đơn linh kiện</x:v>
      </x:c>
      <x:c r="C15" s="12" t="n">
        <x:v>4</x:v>
      </x:c>
      <x:c r="D15" s="14" t="n">
        <x:v>46217</x:v>
      </x:c>
      <x:c r="E15" s="12" t="str">
        <x:v>Linh kiện cũ</x:v>
      </x:c>
      <x:c r="F15" s="12" t="str">
        <x:v>A2</x:v>
      </x:c>
      <x:c r="G15" s="12" t="str">
        <x:v>Commercial Investigation</x:v>
      </x:c>
      <x:c r="H15" s="12" t="str">
        <x:v>MOFU/BOFU</x:v>
      </x:c>
      <x:c r="I15" s="12" t="str">
        <x:v>SSD SATA Cũ Hay SSD NVMe Cũ: Nên Chọn Loại Nào Cho PC, Laptop?</x:v>
      </x:c>
      <x:c r="J15" s="12" t="str">
        <x:v>SSD SATA Cũ Hay NVMe Cũ: Nên Chọn Loại Nào?</x:v>
      </x:c>
      <x:c r="K15" s="12" t="n">
        <x:f>LEN(J15)</x:f>
        <x:v>43</x:v>
      </x:c>
      <x:c r="L15" s="12" t="str">
        <x:v>So sánh SSD SATA cũ và SSD NVMe cũ cho PC, laptop; nên chọn dung lượng nào, tốc độ ra sao và cần test gì trước khi mua.</x:v>
      </x:c>
      <x:c r="M15" s="12" t="n">
        <x:f>LEN(L15)</x:f>
        <x:v>119</x:v>
      </x:c>
      <x:c r="N15" s="12" t="str">
        <x:v>ssd nvme cũ</x:v>
      </x:c>
      <x:c r="O15" s="12" t="str">
        <x:v>ssd sata cũ, ssd m2 cũ, ssd m2 nvme cũ, ssd nvme 256gb cũ, ssd nvme 1tb cũ</x:v>
      </x:c>
      <x:c r="P15" s="12" t="str">
        <x:v>16M: ssd m2 cũ 24 click / 235 hiển thị / vị trí 7,2; ssd sata cũ 19 click / 206 hiển thị / vị trí 6,8</x:v>
      </x:c>
      <x:c r="Q15" s="12" t="str">
        <x:v>3M: ssd m2 cũ 6 click / 44 hiển thị / vị trí 5,9; ssd sata cũ 1 click / 55 hiển thị / vị trí 6,5</x:v>
      </x:c>
      <x:c r="R15" s="12" t="str">
        <x:v>Dùng làm bài hỗ trợ cho landing SSD cũ.</x:v>
      </x:c>
      <x:c r="S15" s="12" t="str">
        <x:v>/blogs/kinh-nghiem/ssd-sata-cu-hay-nvme-cu</x:v>
      </x:c>
      <x:c r="T15" s="12" t="str">
        <x:v>/collections/ssd-cu</x:v>
      </x:c>
      <x:c r="U15" s="12" t="str">
        <x:v>SSD NVMe cũ; SSD SATA cũ; SSD M.2 cũ</x:v>
      </x:c>
      <x:c r="V15" s="12" t="str">
        <x:v>Lọc SSD theo chuẩn kết nối và dung lượng tại Sintech.</x:v>
      </x:c>
      <x:c r="W15" s="12" t="str">
        <x:v>H2 Khác nhau SATA/NVMe | H2 PC/laptop nào dùng được | H2 Giá và độ bền | H2 Cách test | H2 Nên mua loại nào</x:v>
      </x:c>
      <x:c r="X15" s="12" t="str">
        <x:v>Ảnh khe M.2/SATA; checklist tương thích laptop/PC.</x:v>
      </x:c>
      <x:c r="Y15" s="12" t="str">
        <x:v>Article + FAQ</x:v>
      </x:c>
      <x:c r="Z15" s="12" t="n">
        <x:v>1700</x:v>
      </x:c>
      <x:c r="AA15" s="12" t="n">
        <x:v>4</x:v>
      </x:c>
      <x:c r="AB15" s="12" t="n">
        <x:v>4</x:v>
      </x:c>
      <x:c r="AC15" s="12" t="n">
        <x:v>3</x:v>
      </x:c>
      <x:c r="AD15" s="12" t="str">
        <x:v>Thấp</x:v>
      </x:c>
      <x:c r="AE15" s="12" t="n">
        <x:f>ROUND(((AA15*0.45)+(AB15*0.40)+(MAX(1,6-AC15)*0.15))*20,0)</x:f>
        <x:v>77</x:v>
      </x:c>
      <x:c r="AF15" s="12" t="str">
        <x:v>Chưa viết</x:v>
      </x:c>
      <x:c r="AG15" s="12" t="str">
        <x:v>Sintech SEO</x:v>
      </x:c>
      <x:c r="AH15" s="14" t="n">
        <x:v>46214</x:v>
      </x:c>
      <x:c r="AI15" s="14" t="n">
        <x:v>46217</x:v>
      </x:c>
      <x:c r="AJ15" s="12" t="str">
        <x:v>Click / Impression / Vị trí / CTR theo URL sau 14-28 ngày</x:v>
      </x:c>
      <x:c r="AK15" s="12" t="str"/>
    </x:row>
    <x:row r="16">
      <x:c r="A16" s="12" t="str">
        <x:v>BLG-015</x:v>
      </x:c>
      <x:c r="B16" s="12" t="str">
        <x:v>GĐ3 - Ra đơn linh kiện</x:v>
      </x:c>
      <x:c r="C16" s="12" t="n">
        <x:v>4</x:v>
      </x:c>
      <x:c r="D16" s="14" t="n">
        <x:v>46218</x:v>
      </x:c>
      <x:c r="E16" s="12" t="str">
        <x:v>Linh kiện cũ</x:v>
      </x:c>
      <x:c r="F16" s="12" t="str">
        <x:v>A1</x:v>
      </x:c>
      <x:c r="G16" s="12" t="str">
        <x:v>Commercial Investigation</x:v>
      </x:c>
      <x:c r="H16" s="12" t="str">
        <x:v>MOFU/BOFU</x:v>
      </x:c>
      <x:c r="I16" s="12" t="str">
        <x:v>RTX 4060 Cũ Có Đáng Mua Không? Hiệu Năng, Giá Và Cách Test Trước Khi Mua</x:v>
      </x:c>
      <x:c r="J16" s="12" t="str">
        <x:v>RTX 4060 Cũ Có Đáng Mua? Giá, Hiệu Năng, Cách Test</x:v>
      </x:c>
      <x:c r="K16" s="12" t="n">
        <x:f>LEN(J16)</x:f>
        <x:v>50</x:v>
      </x:c>
      <x:c r="L16" s="12" t="str">
        <x:v>Đánh giá RTX 4060 cũ có đáng mua không, phù hợp game nào, cần test nhiệt độ, quạt, VRAM và bảo hành ra sao.</x:v>
      </x:c>
      <x:c r="M16" s="12" t="n">
        <x:f>LEN(L16)</x:f>
        <x:v>107</x:v>
      </x:c>
      <x:c r="N16" s="12" t="str">
        <x:v>rtx 4060 cũ</x:v>
      </x:c>
      <x:c r="O16" s="12" t="str">
        <x:v>4060 cũ, card 4060 cũ, rtx 4060 ti cũ, rtx 4060 ti 16gb cũ, rtx 4060 second hand</x:v>
      </x:c>
      <x:c r="P16" s="12" t="str">
        <x:v>16M: rtx 4060 cũ 106 click / 1.541 hiển thị / vị trí 5,5</x:v>
      </x:c>
      <x:c r="Q16" s="12" t="str">
        <x:v>3M: rtx 4060 cũ 27 click / 271 hiển thị / CTR 10% / vị trí 4,4</x:v>
      </x:c>
      <x:c r="R16" s="12" t="str">
        <x:v>Đang tốt trong 3 tháng; bài có khả năng chuyển đổi nhanh.</x:v>
      </x:c>
      <x:c r="S16" s="12" t="str">
        <x:v>/blogs/kinh-nghiem/rtx-4060-cu-co-dang-mua-khong</x:v>
      </x:c>
      <x:c r="T16" s="12" t="str">
        <x:v>/collections/vga-cu</x:v>
      </x:c>
      <x:c r="U16" s="12" t="str">
        <x:v>RTX 4060 cũ; VGA cũ; card 4060 cũ</x:v>
      </x:c>
      <x:c r="V16" s="12" t="str">
        <x:v>Xem VGA RTX 4060 cũ đang có hàng và yêu cầu test trước khi mua.</x:v>
      </x:c>
      <x:c r="W16" s="12" t="str">
        <x:v>H2 RTX 4060 cũ phù hợp ai? | H2 Giá/hiệu năng | H2 Test nhiệt/VRAM/quạt | H2 So sánh 3060/5060 | H2 FAQ</x:v>
      </x:c>
      <x:c r="X16" s="12" t="str">
        <x:v>Ảnh GPU-Z/FurMark; ảnh sản phẩm thật; video test nhanh.</x:v>
      </x:c>
      <x:c r="Y16" s="12" t="str">
        <x:v>Article + FAQ</x:v>
      </x:c>
      <x:c r="Z16" s="12" t="n">
        <x:v>1800</x:v>
      </x:c>
      <x:c r="AA16" s="12" t="n">
        <x:v>5</x:v>
      </x:c>
      <x:c r="AB16" s="12" t="n">
        <x:v>5</x:v>
      </x:c>
      <x:c r="AC16" s="12" t="n">
        <x:v>3</x:v>
      </x:c>
      <x:c r="AD16" s="12" t="str">
        <x:v>Thấp</x:v>
      </x:c>
      <x:c r="AE16" s="12" t="n">
        <x:f>ROUND(((AA16*0.45)+(AB16*0.40)+(MAX(1,6-AC16)*0.15))*20,0)</x:f>
        <x:v>94</x:v>
      </x:c>
      <x:c r="AF16" s="12" t="str">
        <x:v>Chưa viết</x:v>
      </x:c>
      <x:c r="AG16" s="12" t="str">
        <x:v>Sintech SEO</x:v>
      </x:c>
      <x:c r="AH16" s="14" t="n">
        <x:v>46215</x:v>
      </x:c>
      <x:c r="AI16" s="14" t="n">
        <x:v>46218</x:v>
      </x:c>
      <x:c r="AJ16" s="12" t="str">
        <x:v>Click / Impression / Vị trí / CTR theo URL sau 14-28 ngày</x:v>
      </x:c>
      <x:c r="AK16" s="12" t="str"/>
    </x:row>
    <x:row r="17">
      <x:c r="A17" s="12" t="str">
        <x:v>BLG-016</x:v>
      </x:c>
      <x:c r="B17" s="12" t="str">
        <x:v>GĐ3 - Ra đơn linh kiện</x:v>
      </x:c>
      <x:c r="C17" s="12" t="n">
        <x:v>5</x:v>
      </x:c>
      <x:c r="D17" s="14" t="n">
        <x:v>46224</x:v>
      </x:c>
      <x:c r="E17" s="12" t="str">
        <x:v>Linh kiện cũ</x:v>
      </x:c>
      <x:c r="F17" s="12" t="str">
        <x:v>A1</x:v>
      </x:c>
      <x:c r="G17" s="12" t="str">
        <x:v>Commercial Investigation</x:v>
      </x:c>
      <x:c r="H17" s="12" t="str">
        <x:v>MOFU/BOFU</x:v>
      </x:c>
      <x:c r="I17" s="12" t="str">
        <x:v>RTX 3060 Cũ Có Còn Đáng Mua Không? So Sánh Bản 8GB, 12GB Và RTX 4060</x:v>
      </x:c>
      <x:c r="J17" s="12" t="str">
        <x:v>RTX 3060 Cũ Có Đáng Mua? So Sánh 8GB, 12GB, 4060</x:v>
      </x:c>
      <x:c r="K17" s="12" t="n">
        <x:f>LEN(J17)</x:f>
        <x:v>48</x:v>
      </x:c>
      <x:c r="L17" s="12" t="str">
        <x:v>RTX 3060 cũ có còn đáng mua? So sánh bản 8GB, 12GB, RTX 4060 và cách test card trước khi mua.</x:v>
      </x:c>
      <x:c r="M17" s="12" t="n">
        <x:f>LEN(L17)</x:f>
        <x:v>93</x:v>
      </x:c>
      <x:c r="N17" s="12" t="str">
        <x:v>rtx 3060 cũ</x:v>
      </x:c>
      <x:c r="O17" s="12" t="str">
        <x:v>3060 cũ, rtx 3060 12gb cũ, rtx 3060 8gb cũ, card 3060 12gb cũ, rtx 3060 cũ giá rẻ</x:v>
      </x:c>
      <x:c r="P17" s="12" t="str">
        <x:v>16M: rtx 3060 cũ 42 click / 1.822 hiển thị / vị trí 9,3</x:v>
      </x:c>
      <x:c r="Q17" s="12" t="str">
        <x:v>3M: rtx 3060 cũ 16 click / 448 hiển thị / vị trí 6,8</x:v>
      </x:c>
      <x:c r="R17" s="12" t="str">
        <x:v>Vị trí cải thiện trong 3 tháng; cần bài riêng để bắt BOFU.</x:v>
      </x:c>
      <x:c r="S17" s="12" t="str">
        <x:v>/blogs/kinh-nghiem/rtx-3060-cu-co-dang-mua-khong</x:v>
      </x:c>
      <x:c r="T17" s="12" t="str">
        <x:v>/collections/vga-cu</x:v>
      </x:c>
      <x:c r="U17" s="12" t="str">
        <x:v>RTX 3060 cũ; VGA RTX 3060 12GB cũ; card màn hình cũ</x:v>
      </x:c>
      <x:c r="V17" s="12" t="str">
        <x:v>Tư vấn chọn RTX 3060 cũ theo game và ngân sách.</x:v>
      </x:c>
      <x:c r="W17" s="12" t="str">
        <x:v>H2 Vì sao 3060 còn phổ biến | H2 8GB vs 12GB | H2 So với 4060 | H2 Cách test | H2 FAQ</x:v>
      </x:c>
      <x:c r="X17" s="12" t="str">
        <x:v>Bảng so sánh thông số; ảnh test nhiệt/FPS.</x:v>
      </x:c>
      <x:c r="Y17" s="12" t="str">
        <x:v>Article + FAQ</x:v>
      </x:c>
      <x:c r="Z17" s="12" t="n">
        <x:v>1800</x:v>
      </x:c>
      <x:c r="AA17" s="12" t="n">
        <x:v>5</x:v>
      </x:c>
      <x:c r="AB17" s="12" t="n">
        <x:v>5</x:v>
      </x:c>
      <x:c r="AC17" s="12" t="n">
        <x:v>3</x:v>
      </x:c>
      <x:c r="AD17" s="12" t="str">
        <x:v>Thấp</x:v>
      </x:c>
      <x:c r="AE17" s="12" t="n">
        <x:f>ROUND(((AA17*0.45)+(AB17*0.40)+(MAX(1,6-AC17)*0.15))*20,0)</x:f>
        <x:v>94</x:v>
      </x:c>
      <x:c r="AF17" s="12" t="str">
        <x:v>Chưa viết</x:v>
      </x:c>
      <x:c r="AG17" s="12" t="str">
        <x:v>Sintech SEO</x:v>
      </x:c>
      <x:c r="AH17" s="14" t="n">
        <x:v>46221</x:v>
      </x:c>
      <x:c r="AI17" s="14" t="n">
        <x:v>46224</x:v>
      </x:c>
      <x:c r="AJ17" s="12" t="str">
        <x:v>Click / Impression / Vị trí / CTR theo URL sau 14-28 ngày</x:v>
      </x:c>
      <x:c r="AK17" s="12" t="str"/>
    </x:row>
    <x:row r="18">
      <x:c r="A18" s="12" t="str">
        <x:v>BLG-017</x:v>
      </x:c>
      <x:c r="B18" s="12" t="str">
        <x:v>GĐ3 - Ra đơn linh kiện</x:v>
      </x:c>
      <x:c r="C18" s="12" t="n">
        <x:v>5</x:v>
      </x:c>
      <x:c r="D18" s="14" t="n">
        <x:v>46225</x:v>
      </x:c>
      <x:c r="E18" s="12" t="str">
        <x:v>Linh kiện cũ</x:v>
      </x:c>
      <x:c r="F18" s="12" t="str">
        <x:v>A2</x:v>
      </x:c>
      <x:c r="G18" s="12" t="str">
        <x:v>Commercial Investigation</x:v>
      </x:c>
      <x:c r="H18" s="12" t="str">
        <x:v>MOFU/BOFU</x:v>
      </x:c>
      <x:c r="I18" s="12" t="str">
        <x:v>RTX 4070 Cũ Có Đáng Mua Không? Khi Nào Nên Chọn Thay Vì RTX 4060?</x:v>
      </x:c>
      <x:c r="J18" s="12" t="str">
        <x:v>RTX 4070 Cũ Có Đáng Mua? So Sánh Với RTX 4060</x:v>
      </x:c>
      <x:c r="K18" s="12" t="n">
        <x:f>LEN(J18)</x:f>
        <x:v>45</x:v>
      </x:c>
      <x:c r="L18" s="12" t="str">
        <x:v>Tư vấn mua RTX 4070 cũ, so sánh với RTX 4060/4060 Ti, phù hợp gaming 2K, render và build PC cao cấp.</x:v>
      </x:c>
      <x:c r="M18" s="12" t="n">
        <x:f>LEN(L18)</x:f>
        <x:v>100</x:v>
      </x:c>
      <x:c r="N18" s="12" t="str">
        <x:v>rtx 4070 cũ</x:v>
      </x:c>
      <x:c r="O18" s="12" t="str">
        <x:v>4070 cũ, rtx cũ, card nvidia cũ, build pc chơi game 2k</x:v>
      </x:c>
      <x:c r="P18" s="12" t="str">
        <x:v>16M: rtx 4070 cũ 186 click / 3.204 hiển thị / vị trí 6,8</x:v>
      </x:c>
      <x:c r="Q18" s="12" t="str">
        <x:v>3M: rtx 4070 cũ 9 click / 129 hiển thị / vị trí 7,6</x:v>
      </x:c>
      <x:c r="R18" s="12" t="str">
        <x:v>Dài hạn có traffic tốt nhưng 3 tháng giảm; cần cứu bằng bài mới.</x:v>
      </x:c>
      <x:c r="S18" s="12" t="str">
        <x:v>/blogs/kinh-nghiem/rtx-4070-cu-co-dang-mua-khong</x:v>
      </x:c>
      <x:c r="T18" s="12" t="str">
        <x:v>/collections/vga-cu</x:v>
      </x:c>
      <x:c r="U18" s="12" t="str">
        <x:v>RTX 4070 cũ; VGA cũ cao cấp; build PC 2K</x:v>
      </x:c>
      <x:c r="V18" s="12" t="str">
        <x:v>Kiểm tra VGA RTX 4070 cũ và build cấu hình phù hợp.</x:v>
      </x:c>
      <x:c r="W18" s="12" t="str">
        <x:v>H2 4070 cũ phù hợp ai? | H2 So sánh 4060/4060Ti | H2 Test khi mua | H2 Build PC đi kèm | H2 FAQ</x:v>
      </x:c>
      <x:c r="X18" s="12" t="str">
        <x:v>Bảng so sánh; ảnh sản phẩm/test.</x:v>
      </x:c>
      <x:c r="Y18" s="12" t="str">
        <x:v>Article + FAQ</x:v>
      </x:c>
      <x:c r="Z18" s="12" t="n">
        <x:v>1800</x:v>
      </x:c>
      <x:c r="AA18" s="12" t="n">
        <x:v>4</x:v>
      </x:c>
      <x:c r="AB18" s="12" t="n">
        <x:v>5</x:v>
      </x:c>
      <x:c r="AC18" s="12" t="n">
        <x:v>3</x:v>
      </x:c>
      <x:c r="AD18" s="12" t="str">
        <x:v>Thấp</x:v>
      </x:c>
      <x:c r="AE18" s="12" t="n">
        <x:f>ROUND(((AA18*0.45)+(AB18*0.40)+(MAX(1,6-AC18)*0.15))*20,0)</x:f>
        <x:v>85</x:v>
      </x:c>
      <x:c r="AF18" s="12" t="str">
        <x:v>Chưa viết</x:v>
      </x:c>
      <x:c r="AG18" s="12" t="str">
        <x:v>Sintech SEO</x:v>
      </x:c>
      <x:c r="AH18" s="14" t="n">
        <x:v>46222</x:v>
      </x:c>
      <x:c r="AI18" s="14" t="n">
        <x:v>46225</x:v>
      </x:c>
      <x:c r="AJ18" s="12" t="str">
        <x:v>Click / Impression / Vị trí / CTR theo URL sau 14-28 ngày</x:v>
      </x:c>
      <x:c r="AK18" s="12" t="str"/>
    </x:row>
    <x:row r="19">
      <x:c r="A19" s="12" t="str">
        <x:v>BLG-018</x:v>
      </x:c>
      <x:c r="B19" s="12" t="str">
        <x:v>GĐ3 - Ra đơn linh kiện</x:v>
      </x:c>
      <x:c r="C19" s="12" t="n">
        <x:v>5</x:v>
      </x:c>
      <x:c r="D19" s="14" t="n">
        <x:v>46220</x:v>
      </x:c>
      <x:c r="E19" s="12" t="str">
        <x:v>Linh kiện cũ</x:v>
      </x:c>
      <x:c r="F19" s="12" t="str">
        <x:v>A1</x:v>
      </x:c>
      <x:c r="G19" s="12" t="str">
        <x:v>Informational + Commercial</x:v>
      </x:c>
      <x:c r="H19" s="12" t="str">
        <x:v>TOFU/MOFU</x:v>
      </x:c>
      <x:c r="I19" s="12" t="str">
        <x:v>Mua VGA Cũ Cần Test Gì? Cách Kiểm Tra Card Màn Hình Trước Khi Mua</x:v>
      </x:c>
      <x:c r="J19" s="12" t="str">
        <x:v>Mua VGA Cũ Cần Test Gì? Cách Kiểm Tra Card Màn Hình</x:v>
      </x:c>
      <x:c r="K19" s="12" t="n">
        <x:f>LEN(J19)</x:f>
        <x:v>51</x:v>
      </x:c>
      <x:c r="L19" s="12" t="str">
        <x:v>Hướng dẫn test VGA cũ, kiểm tra nhiệt độ, quạt, VRAM, benchmark, cổng xuất hình và bảo hành trước khi mua.</x:v>
      </x:c>
      <x:c r="M19" s="12" t="n">
        <x:f>LEN(L19)</x:f>
        <x:v>106</x:v>
      </x:c>
      <x:c r="N19" s="12" t="str">
        <x:v>vga cũ</x:v>
      </x:c>
      <x:c r="O19" s="12" t="str">
        <x:v>card màn hình cũ, card cũ, rtx cũ, card amd cũ, card nvidia cũ, test vga, test card màn hình</x:v>
      </x:c>
      <x:c r="P19" s="12" t="str">
        <x:v>16M: vga cũ 20 click / 270 hiển thị / vị trí 30,2; card màn hình cũ 17 click / 249 hiển thị / vị trí 25,4</x:v>
      </x:c>
      <x:c r="Q19" s="12" t="str">
        <x:v>3M: test vga 7 click / 629 hiển thị / vị trí 7,9; phần mềm test vga 2 click / 343 hiển thị / vị trí 8,1</x:v>
      </x:c>
      <x:c r="R19" s="12" t="str">
        <x:v>Ý định kỹ thuật mạnh; bài giúp kéo khách đang cân nhắc mua.</x:v>
      </x:c>
      <x:c r="S19" s="12" t="str">
        <x:v>/blogs/kinh-nghiem/mua-vga-cu-can-test-gi</x:v>
      </x:c>
      <x:c r="T19" s="12" t="str">
        <x:v>/collections/vga-cu</x:v>
      </x:c>
      <x:c r="U19" s="12" t="str">
        <x:v>test VGA cũ; card màn hình cũ; mua VGA cũ</x:v>
      </x:c>
      <x:c r="V19" s="12" t="str">
        <x:v>Mang VGA đến Sintech kiểm tra hoặc mua VGA cũ đã test.</x:v>
      </x:c>
      <x:c r="W19" s="12" t="str">
        <x:v>H2 Test ngoại hình | H2 Test nhiệt | H2 Test VRAM | H2 Benchmark | H2 Dấu hiệu không nên mua | H2 FAQ</x:v>
      </x:c>
      <x:c r="X19" s="12" t="str">
        <x:v>Ảnh/video test FurMark, GPU-Z; checklist in ra được.</x:v>
      </x:c>
      <x:c r="Y19" s="12" t="str">
        <x:v>HowTo + FAQ</x:v>
      </x:c>
      <x:c r="Z19" s="12" t="n">
        <x:v>2200</x:v>
      </x:c>
      <x:c r="AA19" s="12" t="n">
        <x:v>5</x:v>
      </x:c>
      <x:c r="AB19" s="12" t="n">
        <x:v>5</x:v>
      </x:c>
      <x:c r="AC19" s="12" t="n">
        <x:v>4</x:v>
      </x:c>
      <x:c r="AD19" s="12" t="str">
        <x:v>Thấp</x:v>
      </x:c>
      <x:c r="AE19" s="12" t="n">
        <x:f>ROUND(((AA19*0.45)+(AB19*0.40)+(MAX(1,6-AC19)*0.15))*20,0)</x:f>
        <x:v>91</x:v>
      </x:c>
      <x:c r="AF19" s="12" t="str">
        <x:v>Chưa viết</x:v>
      </x:c>
      <x:c r="AG19" s="12" t="str">
        <x:v>Sintech SEO</x:v>
      </x:c>
      <x:c r="AH19" s="14" t="n">
        <x:v>46217</x:v>
      </x:c>
      <x:c r="AI19" s="14" t="n">
        <x:v>46220</x:v>
      </x:c>
      <x:c r="AJ19" s="12" t="str">
        <x:v>Click / Impression / Vị trí / CTR theo URL sau 14-28 ngày</x:v>
      </x:c>
      <x:c r="AK19" s="12" t="str"/>
    </x:row>
    <x:row r="20">
      <x:c r="A20" s="12" t="str">
        <x:v>BLG-019</x:v>
      </x:c>
      <x:c r="B20" s="12" t="str">
        <x:v>GĐ3 - Ra đơn linh kiện</x:v>
      </x:c>
      <x:c r="C20" s="12" t="n">
        <x:v>6</x:v>
      </x:c>
      <x:c r="D20" s="14" t="n">
        <x:v>46227</x:v>
      </x:c>
      <x:c r="E20" s="12" t="str">
        <x:v>Linh kiện cũ</x:v>
      </x:c>
      <x:c r="F20" s="12" t="str">
        <x:v>A2</x:v>
      </x:c>
      <x:c r="G20" s="12" t="str">
        <x:v>Commercial Investigation</x:v>
      </x:c>
      <x:c r="H20" s="12" t="str">
        <x:v>MOFU/BOFU</x:v>
      </x:c>
      <x:c r="I20" s="12" t="str">
        <x:v>Linh Kiện PC Cũ TPHCM: Kinh Nghiệm Mua Hàng Có Test Và Bảo Hành</x:v>
      </x:c>
      <x:c r="J20" s="12" t="str">
        <x:v>Linh Kiện PC Cũ TPHCM: Kinh Nghiệm Mua Có Bảo Hành</x:v>
      </x:c>
      <x:c r="K20" s="12" t="n">
        <x:f>LEN(J20)</x:f>
        <x:v>50</x:v>
      </x:c>
      <x:c r="L20" s="12" t="str">
        <x:v>Kinh nghiệm mua linh kiện PC cũ tại TPHCM, cách chọn SSD, VGA, CPU, RAM, nguồn cũ có test và bảo hành rõ ràng.</x:v>
      </x:c>
      <x:c r="M20" s="12" t="n">
        <x:f>LEN(L20)</x:f>
        <x:v>110</x:v>
      </x:c>
      <x:c r="N20" s="12" t="str">
        <x:v>linh kiện pc cũ</x:v>
      </x:c>
      <x:c r="O20" s="12" t="str">
        <x:v>linh kiện pc cũ tphcm, linh kiện máy tính cũ tphcm, linh kiện cũ pc, mua linh kiện pc cũ</x:v>
      </x:c>
      <x:c r="P20" s="12" t="str">
        <x:v>16M: linh kiện pc cũ 33 click / 782 hiển thị / vị trí 7,8; linh kiện pc cũ tphcm 15 click / 240 hiển thị / vị trí 6,6</x:v>
      </x:c>
      <x:c r="Q20" s="12" t="str">
        <x:v>3M: linh kiện pc cũ 21 click / 530 hiển thị / vị trí 7,8; linh kiện pc cũ tphcm 10 click / 123 hiển thị / vị trí 6,7</x:v>
      </x:c>
      <x:c r="R20" s="12" t="str">
        <x:v>3 tháng giữ tốt; cần landing/blog để gom ý định mua.</x:v>
      </x:c>
      <x:c r="S20" s="12" t="str">
        <x:v>/blogs/kinh-nghiem/linh-kien-pc-cu-tphcm</x:v>
      </x:c>
      <x:c r="T20" s="12" t="str">
        <x:v>/collections/linh-kien-pc-cu</x:v>
      </x:c>
      <x:c r="U20" s="12" t="str">
        <x:v>linh kiện PC cũ TPHCM; linh kiện máy tính cũ; mua linh kiện PC cũ</x:v>
      </x:c>
      <x:c r="V20" s="12" t="str">
        <x:v>Xem danh mục linh kiện PC cũ đã test tại Sintech.</x:v>
      </x:c>
      <x:c r="W20" s="12" t="str">
        <x:v>H2 Nên mua linh kiện nào cũ? | H2 Test ra sao | H2 Bảo hành | H2 Địa chỉ Quận 7 | H2 FAQ</x:v>
      </x:c>
      <x:c r="X20" s="12" t="str">
        <x:v>Ảnh shop/kệ hàng; bảng chính sách bảo hành/test.</x:v>
      </x:c>
      <x:c r="Y20" s="12" t="str">
        <x:v>LocalBusiness + FAQ</x:v>
      </x:c>
      <x:c r="Z20" s="12" t="n">
        <x:v>1900</x:v>
      </x:c>
      <x:c r="AA20" s="12" t="n">
        <x:v>5</x:v>
      </x:c>
      <x:c r="AB20" s="12" t="n">
        <x:v>5</x:v>
      </x:c>
      <x:c r="AC20" s="12" t="n">
        <x:v>3</x:v>
      </x:c>
      <x:c r="AD20" s="12" t="str">
        <x:v>Thấp</x:v>
      </x:c>
      <x:c r="AE20" s="12" t="n">
        <x:f>ROUND(((AA20*0.45)+(AB20*0.40)+(MAX(1,6-AC20)*0.15))*20,0)</x:f>
        <x:v>94</x:v>
      </x:c>
      <x:c r="AF20" s="12" t="str">
        <x:v>Chưa viết</x:v>
      </x:c>
      <x:c r="AG20" s="12" t="str">
        <x:v>Sintech SEO</x:v>
      </x:c>
      <x:c r="AH20" s="14" t="n">
        <x:v>46224</x:v>
      </x:c>
      <x:c r="AI20" s="14" t="n">
        <x:v>46227</x:v>
      </x:c>
      <x:c r="AJ20" s="12" t="str">
        <x:v>Click / Impression / Vị trí / CTR theo URL sau 14-28 ngày</x:v>
      </x:c>
      <x:c r="AK20" s="12" t="str"/>
    </x:row>
    <x:row r="21">
      <x:c r="A21" s="12" t="str">
        <x:v>BLG-020</x:v>
      </x:c>
      <x:c r="B21" s="12" t="str">
        <x:v>GĐ3 - Ra đơn linh kiện</x:v>
      </x:c>
      <x:c r="C21" s="12" t="n">
        <x:v>6</x:v>
      </x:c>
      <x:c r="D21" s="14" t="n">
        <x:v>46229</x:v>
      </x:c>
      <x:c r="E21" s="12" t="str">
        <x:v>Linh kiện cũ</x:v>
      </x:c>
      <x:c r="F21" s="12" t="str">
        <x:v>B</x:v>
      </x:c>
      <x:c r="G21" s="12" t="str">
        <x:v>Commercial Investigation</x:v>
      </x:c>
      <x:c r="H21" s="12" t="str">
        <x:v>MOFU</x:v>
      </x:c>
      <x:c r="I21" s="12" t="str">
        <x:v>CPU Cũ Có Đáng Mua Không? Kinh Nghiệm Chọn CPU Intel, AMD Cũ</x:v>
      </x:c>
      <x:c r="J21" s="12" t="str">
        <x:v>CPU Cũ Có Đáng Mua? Kinh Nghiệm Chọn Intel, AMD Cũ</x:v>
      </x:c>
      <x:c r="K21" s="12" t="n">
        <x:f>LEN(J21)</x:f>
        <x:v>50</x:v>
      </x:c>
      <x:c r="L21" s="12" t="str">
        <x:v>CPU cũ có đáng mua không? Hướng dẫn chọn CPU Intel, AMD cũ, kiểm tra socket, mainboard, nhiệt độ và bảo hành.</x:v>
      </x:c>
      <x:c r="M21" s="12" t="n">
        <x:f>LEN(L21)</x:f>
        <x:v>109</x:v>
      </x:c>
      <x:c r="N21" s="12" t="str">
        <x:v>cpu cũ</x:v>
      </x:c>
      <x:c r="O21" s="12" t="str">
        <x:v>cpu amd cũ, i9 9900k cũ, ryzen 5 5600 cũ, ryzen 5 3600 cũ, r5 5600 cũ, i5 11400</x:v>
      </x:c>
      <x:c r="P21" s="12" t="str">
        <x:v>16M: cpu amd cũ 82 click / 343 hiển thị / CTR 23,9% / vị trí 5,7</x:v>
      </x:c>
      <x:c r="Q21" s="12" t="str">
        <x:v>3M: cpu amd cũ 11 click / 47 hiển thị / vị trí 3,6; r5 5600 cũ 9 click / 50 hiển thị</x:v>
      </x:c>
      <x:c r="R21" s="12" t="str">
        <x:v>Ít hiển thị nhưng CTR tốt; có khả năng bán CPU cũ.</x:v>
      </x:c>
      <x:c r="S21" s="12" t="str">
        <x:v>/blogs/kinh-nghiem/cpu-cu-co-dang-mua-khong</x:v>
      </x:c>
      <x:c r="T21" s="12" t="str">
        <x:v>/collections/cpu-cu</x:v>
      </x:c>
      <x:c r="U21" s="12" t="str">
        <x:v>CPU cũ; CPU AMD cũ; i9 9900K cũ</x:v>
      </x:c>
      <x:c r="V21" s="12" t="str">
        <x:v>Nhờ Sintech kiểm tra CPU/Main tương thích trước khi mua.</x:v>
      </x:c>
      <x:c r="W21" s="12" t="str">
        <x:v>H2 CPU cũ rủi ro gì? | H2 Intel vs AMD cũ | H2 Check socket/main | H2 Khi nào nên mua mới? | H2 FAQ</x:v>
      </x:c>
      <x:c r="X21" s="12" t="str">
        <x:v>Bảng socket; ảnh CPU thật; link spec chính hãng nếu nhắc model.</x:v>
      </x:c>
      <x:c r="Y21" s="12" t="str">
        <x:v>Article + FAQ</x:v>
      </x:c>
      <x:c r="Z21" s="12" t="n">
        <x:v>1800</x:v>
      </x:c>
      <x:c r="AA21" s="12" t="n">
        <x:v>4</x:v>
      </x:c>
      <x:c r="AB21" s="12" t="n">
        <x:v>4</x:v>
      </x:c>
      <x:c r="AC21" s="12" t="n">
        <x:v>3</x:v>
      </x:c>
      <x:c r="AD21" s="12" t="str">
        <x:v>Thấp</x:v>
      </x:c>
      <x:c r="AE21" s="12" t="n">
        <x:f>ROUND(((AA21*0.45)+(AB21*0.40)+(MAX(1,6-AC21)*0.15))*20,0)</x:f>
        <x:v>77</x:v>
      </x:c>
      <x:c r="AF21" s="12" t="str">
        <x:v>Chưa viết</x:v>
      </x:c>
      <x:c r="AG21" s="12" t="str">
        <x:v>Sintech SEO</x:v>
      </x:c>
      <x:c r="AH21" s="14" t="n">
        <x:v>46226</x:v>
      </x:c>
      <x:c r="AI21" s="14" t="n">
        <x:v>46229</x:v>
      </x:c>
      <x:c r="AJ21" s="12" t="str">
        <x:v>Click / Impression / Vị trí / CTR theo URL sau 14-28 ngày</x:v>
      </x:c>
      <x:c r="AK21" s="12" t="str"/>
    </x:row>
    <x:row r="22">
      <x:c r="A22" s="12" t="str">
        <x:v>BLG-021</x:v>
      </x:c>
      <x:c r="B22" s="12" t="str">
        <x:v>GĐ3 - Ra đơn linh kiện</x:v>
      </x:c>
      <x:c r="C22" s="12" t="n">
        <x:v>6</x:v>
      </x:c>
      <x:c r="D22" s="14" t="n">
        <x:v>46231</x:v>
      </x:c>
      <x:c r="E22" s="12" t="str">
        <x:v>Linh kiện cũ</x:v>
      </x:c>
      <x:c r="F22" s="12" t="str">
        <x:v>B</x:v>
      </x:c>
      <x:c r="G22" s="12" t="str">
        <x:v>Commercial</x:v>
      </x:c>
      <x:c r="H22" s="12" t="str">
        <x:v>BOFU</x:v>
      </x:c>
      <x:c r="I22" s="12" t="str">
        <x:v>Thu Mua Linh Kiện PC Cũ TPHCM: Bảng Giá Tham Khảo Và Quy Trình Kiểm Tra</x:v>
      </x:c>
      <x:c r="J22" s="12" t="str">
        <x:v>Thu Mua Linh Kiện PC Cũ TPHCM: Quy Trình, Bảng Giá</x:v>
      </x:c>
      <x:c r="K22" s="12" t="n">
        <x:f>LEN(J22)</x:f>
        <x:v>50</x:v>
      </x:c>
      <x:c r="L22" s="12" t="str">
        <x:v>Sintech thu mua linh kiện PC cũ tại TPHCM: VGA, CPU, RAM, SSD, nguồn, main. Xem quy trình kiểm tra và định giá.</x:v>
      </x:c>
      <x:c r="M22" s="12" t="n">
        <x:f>LEN(L22)</x:f>
        <x:v>111</x:v>
      </x:c>
      <x:c r="N22" s="12" t="str">
        <x:v>thu mua linh kiện pc cũ</x:v>
      </x:c>
      <x:c r="O22" s="12" t="str">
        <x:v>thu mua pc cũ, thu mua pc cũ tphcm, bảng giá thu mua linh kiện máy tính cũ, bán linh kiện pc cũ</x:v>
      </x:c>
      <x:c r="P22" s="12" t="str">
        <x:v>16M: thu mua pc cũ 25 click / 3.144 hiển thị / vị trí 11,3; thu mua pc cũ tphcm 21 click / 1.732 hiển thị</x:v>
      </x:c>
      <x:c r="Q22" s="12" t="str">
        <x:v>3M: thu mua linh kiện pc cũ 5 click / 111 hiển thị / vị trí 7; thu mua pc cũ 3 click / 463 hiển thị</x:v>
      </x:c>
      <x:c r="R22" s="12" t="str">
        <x:v>Cụm BOFU nhưng local/thu mua cần landing rõ.</x:v>
      </x:c>
      <x:c r="S22" s="12" t="str">
        <x:v>/blogs/kinh-nghiem/thu-mua-linh-kien-pc-cu-tphcm</x:v>
      </x:c>
      <x:c r="T22" s="12" t="str">
        <x:v>/pages/thu-mua-linh-kien-pc-cu</x:v>
      </x:c>
      <x:c r="U22" s="12" t="str">
        <x:v>thu mua linh kiện PC cũ; bán linh kiện PC cũ; thu mua PC cũ TPHCM</x:v>
      </x:c>
      <x:c r="V22" s="12" t="str">
        <x:v>Gửi ảnh linh kiện để Sintech báo giá sơ bộ.</x:v>
      </x:c>
      <x:c r="W22" s="12" t="str">
        <x:v>H2 Nhận thu mua gì? | H2 Quy trình test | H2 Yếu tố định giá | H2 Bảng giá tham khảo | H2 FAQ</x:v>
      </x:c>
      <x:c r="X22" s="12" t="str">
        <x:v>Ảnh quy trình test; form/Zalo CTA rõ.</x:v>
      </x:c>
      <x:c r="Y22" s="12" t="str">
        <x:v>LocalBusiness + FAQ</x:v>
      </x:c>
      <x:c r="Z22" s="12" t="n">
        <x:v>1700</x:v>
      </x:c>
      <x:c r="AA22" s="12" t="n">
        <x:v>4</x:v>
      </x:c>
      <x:c r="AB22" s="12" t="n">
        <x:v>5</x:v>
      </x:c>
      <x:c r="AC22" s="12" t="n">
        <x:v>3</x:v>
      </x:c>
      <x:c r="AD22" s="12" t="str">
        <x:v>Thấp</x:v>
      </x:c>
      <x:c r="AE22" s="12" t="n">
        <x:f>ROUND(((AA22*0.45)+(AB22*0.40)+(MAX(1,6-AC22)*0.15))*20,0)</x:f>
        <x:v>85</x:v>
      </x:c>
      <x:c r="AF22" s="12" t="str">
        <x:v>Chưa viết</x:v>
      </x:c>
      <x:c r="AG22" s="12" t="str">
        <x:v>Sintech SEO</x:v>
      </x:c>
      <x:c r="AH22" s="14" t="n">
        <x:v>46228</x:v>
      </x:c>
      <x:c r="AI22" s="14" t="n">
        <x:v>46231</x:v>
      </x:c>
      <x:c r="AJ22" s="12" t="str">
        <x:v>Click / Impression / Vị trí / CTR theo URL sau 14-28 ngày</x:v>
      </x:c>
      <x:c r="AK22" s="12" t="str"/>
    </x:row>
    <x:row r="23">
      <x:c r="A23" s="12" t="str">
        <x:v>BLG-022</x:v>
      </x:c>
      <x:c r="B23" s="12" t="str">
        <x:v>GĐ3 - Kỹ thuật kéo lead</x:v>
      </x:c>
      <x:c r="C23" s="12" t="n">
        <x:v>7</x:v>
      </x:c>
      <x:c r="D23" s="14" t="n">
        <x:v>46234</x:v>
      </x:c>
      <x:c r="E23" s="12" t="str">
        <x:v>Linh kiện cũ</x:v>
      </x:c>
      <x:c r="F23" s="12" t="str">
        <x:v>B</x:v>
      </x:c>
      <x:c r="G23" s="12" t="str">
        <x:v>Informational</x:v>
      </x:c>
      <x:c r="H23" s="12" t="str">
        <x:v>TOFU</x:v>
      </x:c>
      <x:c r="I23" s="12" t="str">
        <x:v>Bảng Mã Lỗi Main X99: AA, 60, 67, 73, BD, FF Là Gì Và Cách Xử Lý</x:v>
      </x:c>
      <x:c r="J23" s="12" t="str">
        <x:v>Bảng Mã Lỗi Main X99 AA, 60, 67, 73, BD, FF</x:v>
      </x:c>
      <x:c r="K23" s="12" t="n">
        <x:f>LEN(J23)</x:f>
        <x:v>43</x:v>
      </x:c>
      <x:c r="L23" s="12" t="str">
        <x:v>Tổng hợp mã lỗi main X99 thường gặp như AA, 60, 67, 73, BD, FF; nguyên nhân và cách kiểm tra CPU, RAM, VGA, BIOS.</x:v>
      </x:c>
      <x:c r="M23" s="12" t="n">
        <x:f>LEN(L23)</x:f>
        <x:v>113</x:v>
      </x:c>
      <x:c r="N23" s="12" t="str">
        <x:v>lỗi main x99</x:v>
      </x:c>
      <x:c r="O23" s="12" t="str">
        <x:v>main báo lỗi aa, lỗi 73 trên main x99, lỗi 67 main x99, lỗi 60 main x99, lỗi bd trên main x99</x:v>
      </x:c>
      <x:c r="P23" s="12" t="str">
        <x:v>16M: main báo lỗi aa 164 click / 741 hiển thị / vị trí 1,7; lỗi 73 main x99 115 click / 1.002 hiển thị</x:v>
      </x:c>
      <x:c r="Q23" s="12" t="str">
        <x:v>3M: main báo lỗi aa 2 click / 38 hiển thị; lỗi 73 trên main x99 1 click / 82 hiển thị</x:v>
      </x:c>
      <x:c r="R23" s="12" t="str">
        <x:v>Dài hạn từng rất mạnh, 3 tháng yếu; nên cứu/refresh kỹ thuật.</x:v>
      </x:c>
      <x:c r="S23" s="12" t="str">
        <x:v>/blogs/huong-dan/bang-ma-loi-main-x99</x:v>
      </x:c>
      <x:c r="T23" s="12" t="str">
        <x:v>/collections/mainboard-cu</x:v>
      </x:c>
      <x:c r="U23" s="12" t="str">
        <x:v>main X99 cũ; sửa lỗi main X99; linh kiện PC cũ</x:v>
      </x:c>
      <x:c r="V23" s="12" t="str">
        <x:v>Mang máy/main đến Sintech kiểm tra nếu lỗi không tự xử lý được.</x:v>
      </x:c>
      <x:c r="W23" s="12" t="str">
        <x:v>H2 Bảng mã lỗi | H2 Lỗi AA | H2 Lỗi 60/67/73 | H2 Check RAM/CPU/VGA | H2 Khi nào cần kỹ thuật</x:v>
      </x:c>
      <x:c r="X23" s="12" t="str">
        <x:v>Ảnh debug LED thật; checklist an toàn; cảnh báo không flash BIOS bừa.</x:v>
      </x:c>
      <x:c r="Y23" s="12" t="str">
        <x:v>HowTo + FAQ</x:v>
      </x:c>
      <x:c r="Z23" s="12" t="n">
        <x:v>2500</x:v>
      </x:c>
      <x:c r="AA23" s="12" t="n">
        <x:v>4</x:v>
      </x:c>
      <x:c r="AB23" s="12" t="n">
        <x:v>3</x:v>
      </x:c>
      <x:c r="AC23" s="12" t="n">
        <x:v>4</x:v>
      </x:c>
      <x:c r="AD23" s="12" t="str">
        <x:v>Thấp</x:v>
      </x:c>
      <x:c r="AE23" s="12" t="n">
        <x:f>ROUND(((AA23*0.45)+(AB23*0.40)+(MAX(1,6-AC23)*0.15))*20,0)</x:f>
        <x:v>66</x:v>
      </x:c>
      <x:c r="AF23" s="12" t="str">
        <x:v>Chưa viết</x:v>
      </x:c>
      <x:c r="AG23" s="12" t="str">
        <x:v>Sintech SEO</x:v>
      </x:c>
      <x:c r="AH23" s="14" t="n">
        <x:v>46231</x:v>
      </x:c>
      <x:c r="AI23" s="14" t="n">
        <x:v>46234</x:v>
      </x:c>
      <x:c r="AJ23" s="12" t="str">
        <x:v>Click / Impression / Vị trí / CTR theo URL sau 14-28 ngày</x:v>
      </x:c>
      <x:c r="AK23" s="12" t="str"/>
    </x:row>
    <x:row r="24">
      <x:c r="A24" s="12" t="str">
        <x:v>BLG-023</x:v>
      </x:c>
      <x:c r="B24" s="12" t="str">
        <x:v>GĐ4 - Chuyển traffic rủi ro</x:v>
      </x:c>
      <x:c r="C24" s="12" t="n">
        <x:v>7</x:v>
      </x:c>
      <x:c r="D24" s="14" t="n">
        <x:v>46236</x:v>
      </x:c>
      <x:c r="E24" s="12" t="str">
        <x:v>Phần mềm bản quyền</x:v>
      </x:c>
      <x:c r="F24" s="12" t="str">
        <x:v>A1</x:v>
      </x:c>
      <x:c r="G24" s="12" t="str">
        <x:v>Commercial Investigation</x:v>
      </x:c>
      <x:c r="H24" s="12" t="str">
        <x:v>MOFU</x:v>
      </x:c>
      <x:c r="I24" s="12" t="str">
        <x:v>Office 2021 Bản Quyền Khác Gì Office Crack Khi Làm Việc Hằng Ngày?</x:v>
      </x:c>
      <x:c r="J24" s="12" t="str">
        <x:v>Office 2021 Bản Quyền Khác Gì Office Crack?</x:v>
      </x:c>
      <x:c r="K24" s="12" t="n">
        <x:f>LEN(J24)</x:f>
        <x:v>43</x:v>
      </x:c>
      <x:c r="L24" s="12" t="str">
        <x:v>So sánh Office 2021 bản quyền và Office crack về bảo mật, cập nhật, ổn định, pháp lý và chi phí khi dùng cho công việc.</x:v>
      </x:c>
      <x:c r="M24" s="12" t="n">
        <x:f>LEN(L24)</x:f>
        <x:v>119</x:v>
      </x:c>
      <x:c r="N24" s="12" t="str">
        <x:v>office 2021</x:v>
      </x:c>
      <x:c r="O24" s="12" t="str">
        <x:v>microsoft office 2021, office 2021 full, office 2021 64 bit, office 2021 windows 11, cài office 2021</x:v>
      </x:c>
      <x:c r="P24" s="12" t="str">
        <x:v>16M: office 2021 136 click / 4.076 hiển thị / vị trí 9,2</x:v>
      </x:c>
      <x:c r="Q24" s="12" t="str">
        <x:v>3M: office 2021 123 click / 3.249 hiển thị / vị trí 6,5</x:v>
      </x:c>
      <x:c r="R24" s="12" t="str">
        <x:v>Office 2021 đang tăng mạnh gần đây; ưu tiên bài sạch để chuyển đổi.</x:v>
      </x:c>
      <x:c r="S24" s="12" t="str">
        <x:v>/blogs/huong-dan/office-2021-ban-quyen-khac-gi-office-crack</x:v>
      </x:c>
      <x:c r="T24" s="12" t="str">
        <x:v>/collections/phan-mem-ban-quyen</x:v>
      </x:c>
      <x:c r="U24" s="12" t="str">
        <x:v>Office 2021 bản quyền; phần mềm bản quyền; cài Office chính hãng</x:v>
      </x:c>
      <x:c r="V24" s="12" t="str">
        <x:v>Mua Office bản quyền hoặc nhờ Sintech cài đặt hợp lệ.</x:v>
      </x:c>
      <x:c r="W24" s="12" t="str">
        <x:v>H2 Khác nhau bản quyền/crack | H2 Bảo mật | H2 Ổn định | H2 Doanh nghiệp có nên dùng crack? | H2 Bảng so sánh | H2 FAQ</x:v>
      </x:c>
      <x:c r="X24" s="12" t="str">
        <x:v>Ảnh hộp/key/chứng từ nếu có; bảng so sánh rõ; tránh hướng dẫn crack.</x:v>
      </x:c>
      <x:c r="Y24" s="12" t="str">
        <x:v>Article + FAQ</x:v>
      </x:c>
      <x:c r="Z24" s="12" t="n">
        <x:v>2000</x:v>
      </x:c>
      <x:c r="AA24" s="12" t="n">
        <x:v>5</x:v>
      </x:c>
      <x:c r="AB24" s="12" t="n">
        <x:v>5</x:v>
      </x:c>
      <x:c r="AC24" s="12" t="n">
        <x:v>3</x:v>
      </x:c>
      <x:c r="AD24" s="12" t="str">
        <x:v>Trung bình - tránh nội dung hỗ trợ crack</x:v>
      </x:c>
      <x:c r="AE24" s="12" t="n">
        <x:f>ROUND(((AA24*0.45)+(AB24*0.40)+(MAX(1,6-AC24)*0.15))*20,0)</x:f>
        <x:v>94</x:v>
      </x:c>
      <x:c r="AF24" s="12" t="str">
        <x:v>Chưa viết</x:v>
      </x:c>
      <x:c r="AG24" s="12" t="str">
        <x:v>Sintech SEO</x:v>
      </x:c>
      <x:c r="AH24" s="14" t="n">
        <x:v>46233</x:v>
      </x:c>
      <x:c r="AI24" s="14" t="n">
        <x:v>46236</x:v>
      </x:c>
      <x:c r="AJ24" s="12" t="str">
        <x:v>Click / Impression / Vị trí / CTR theo URL sau 14-28 ngày</x:v>
      </x:c>
      <x:c r="AK24" s="12" t="str"/>
    </x:row>
    <x:row r="25">
      <x:c r="A25" s="12" t="str">
        <x:v>BLG-024</x:v>
      </x:c>
      <x:c r="B25" s="12" t="str">
        <x:v>GĐ4 - Chuyển traffic rủi ro</x:v>
      </x:c>
      <x:c r="C25" s="12" t="n">
        <x:v>7</x:v>
      </x:c>
      <x:c r="D25" s="14" t="n">
        <x:v>46238</x:v>
      </x:c>
      <x:c r="E25" s="12" t="str">
        <x:v>Phần mềm bản quyền</x:v>
      </x:c>
      <x:c r="F25" s="12" t="str">
        <x:v>A2</x:v>
      </x:c>
      <x:c r="G25" s="12" t="str">
        <x:v>Informational</x:v>
      </x:c>
      <x:c r="H25" s="12" t="str">
        <x:v>TOFU/MOFU</x:v>
      </x:c>
      <x:c r="I25" s="12" t="str">
        <x:v>Office 2021 Crack Có An Toàn Không? Rủi Ro Khi Dùng Trong Công Việc</x:v>
      </x:c>
      <x:c r="J25" s="12" t="str">
        <x:v>Office 2021 Crack Có An Toàn Không? Rủi Ro Cần Biết</x:v>
      </x:c>
      <x:c r="K25" s="12" t="n">
        <x:f>LEN(J25)</x:f>
        <x:v>51</x:v>
      </x:c>
      <x:c r="L25" s="12" t="str">
        <x:v>Office 2021 crack có thể tiềm ẩn rủi ro bảo mật, lỗi cập nhật và pháp lý. Xem giải pháp dùng Office an toàn, hợp lệ hơn.</x:v>
      </x:c>
      <x:c r="M25" s="12" t="n">
        <x:f>LEN(L25)</x:f>
        <x:v>120</x:v>
      </x:c>
      <x:c r="N25" s="12" t="str">
        <x:v>office 2021 crack</x:v>
      </x:c>
      <x:c r="O25" s="12" t="str">
        <x:v>crack office 2021, office 2021 full crack, download office 2021 full crack, tải office 2021 full crack, crack word 2021</x:v>
      </x:c>
      <x:c r="P25" s="12" t="str">
        <x:v>16M: crack office 2021 1.067 click / 6.021 hiển thị / vị trí 5,4</x:v>
      </x:c>
      <x:c r="Q25" s="12" t="str">
        <x:v>3M: crack office 2021 466 click / 2.167 hiển thị / vị trí 4,2; office full crack đang tăng.</x:v>
      </x:c>
      <x:c r="R25" s="12" t="str">
        <x:v>Traffic lớn nhưng rủi ro; chỉ làm bài cảnh báo và chuyển hướng bản quyền.</x:v>
      </x:c>
      <x:c r="S25" s="12" t="str">
        <x:v>/blogs/huong-dan/office-2021-crack-co-an-toan-khong</x:v>
      </x:c>
      <x:c r="T25" s="12" t="str">
        <x:v>/collections/phan-mem-ban-quyen</x:v>
      </x:c>
      <x:c r="U25" s="12" t="str">
        <x:v>Office bản quyền; cài Office chính hãng; phần mềm bản quyền</x:v>
      </x:c>
      <x:c r="V25" s="12" t="str">
        <x:v>Liên hệ Sintech để được tư vấn bản quyền phù hợp.</x:v>
      </x:c>
      <x:c r="W25" s="12" t="str">
        <x:v>H2 Người dùng tìm crack vì sao? | H2 Rủi ro malware | H2 Lỗi update | H2 Rủi ro doanh nghiệp | H2 Giải pháp hợp lệ</x:v>
      </x:c>
      <x:c r="X25" s="12" t="str">
        <x:v>Không chứa link tải/active; nhấn mạnh an toàn dữ liệu và pháp lý.</x:v>
      </x:c>
      <x:c r="Y25" s="12" t="str">
        <x:v>Article + FAQ</x:v>
      </x:c>
      <x:c r="Z25" s="12" t="n">
        <x:v>1800</x:v>
      </x:c>
      <x:c r="AA25" s="12" t="n">
        <x:v>4</x:v>
      </x:c>
      <x:c r="AB25" s="12" t="n">
        <x:v>4</x:v>
      </x:c>
      <x:c r="AC25" s="12" t="n">
        <x:v>3</x:v>
      </x:c>
      <x:c r="AD25" s="12" t="str">
        <x:v>Cao - phải kiểm duyệt kỹ</x:v>
      </x:c>
      <x:c r="AE25" s="12" t="n">
        <x:f>ROUND(((AA25*0.45)+(AB25*0.40)+(MAX(1,6-AC25)*0.15))*20,0)</x:f>
        <x:v>77</x:v>
      </x:c>
      <x:c r="AF25" s="12" t="str">
        <x:v>Chưa viết</x:v>
      </x:c>
      <x:c r="AG25" s="12" t="str">
        <x:v>Sintech SEO</x:v>
      </x:c>
      <x:c r="AH25" s="14" t="n">
        <x:v>46235</x:v>
      </x:c>
      <x:c r="AI25" s="14" t="n">
        <x:v>46238</x:v>
      </x:c>
      <x:c r="AJ25" s="12" t="str">
        <x:v>Click / Impression / Vị trí / CTR theo URL sau 14-28 ngày</x:v>
      </x:c>
      <x:c r="AK25" s="12" t="str"/>
    </x:row>
    <x:row r="26">
      <x:c r="A26" s="12" t="str">
        <x:v>BLG-025</x:v>
      </x:c>
      <x:c r="B26" s="12" t="str">
        <x:v>GĐ4 - Chuyển traffic rủi ro</x:v>
      </x:c>
      <x:c r="C26" s="12" t="n">
        <x:v>8</x:v>
      </x:c>
      <x:c r="D26" s="14" t="n">
        <x:v>46241</x:v>
      </x:c>
      <x:c r="E26" s="12" t="str">
        <x:v>Phần mềm bản quyền</x:v>
      </x:c>
      <x:c r="F26" s="12" t="str">
        <x:v>A2</x:v>
      </x:c>
      <x:c r="G26" s="12" t="str">
        <x:v>Informational + Commercial</x:v>
      </x:c>
      <x:c r="H26" s="12" t="str">
        <x:v>MOFU</x:v>
      </x:c>
      <x:c r="I26" s="12" t="str">
        <x:v>Cài Office 2021 Cho Windows 11: Nên Dùng Bản Quyền Hay Bản Crack?</x:v>
      </x:c>
      <x:c r="J26" s="12" t="str">
        <x:v>Cài Office 2021 Cho Windows 11: Bản Quyền Hay Crack?</x:v>
      </x:c>
      <x:c r="K26" s="12" t="n">
        <x:f>LEN(J26)</x:f>
        <x:v>52</x:v>
      </x:c>
      <x:c r="L26" s="12" t="str">
        <x:v>Hướng dẫn chuẩn bị cài Office 2021 trên Windows 11, lưu ý bản quyền, cấu hình, lỗi thường gặp và cách dùng an toàn.</x:v>
      </x:c>
      <x:c r="M26" s="12" t="n">
        <x:f>LEN(L26)</x:f>
        <x:v>115</x:v>
      </x:c>
      <x:c r="N26" s="12" t="str">
        <x:v>cài office 2021</x:v>
      </x:c>
      <x:c r="O26" s="12" t="str">
        <x:v>cài đặt office 2021, cách cài office 2021, hướng dẫn cài office 2021, cài office 2021 cho win 11</x:v>
      </x:c>
      <x:c r="P26" s="12" t="str">
        <x:v>16M: cài office 2021 25 click / 552 hiển thị / vị trí 6,5</x:v>
      </x:c>
      <x:c r="Q26" s="12" t="str">
        <x:v>3M: cài office 2021 7 click / 154 hiển thị / vị trí 5,5; hướng dẫn cài office 2021 7 click / 61 hiển thị.</x:v>
      </x:c>
      <x:c r="R26" s="12" t="str">
        <x:v>Nhu cầu cài đặt thật; gắn dịch vụ cài đặt/phần mềm bản quyền.</x:v>
      </x:c>
      <x:c r="S26" s="12" t="str">
        <x:v>/blogs/huong-dan/cai-office-2021-cho-windows-11</x:v>
      </x:c>
      <x:c r="T26" s="12" t="str">
        <x:v>/collections/phan-mem-ban-quyen</x:v>
      </x:c>
      <x:c r="U26" s="12" t="str">
        <x:v>cài Office 2021; Office bản quyền; cài phần mềm tại Sintech</x:v>
      </x:c>
      <x:c r="V26" s="12" t="str">
        <x:v>Đặt lịch cài Office bản quyền tại Sintech.</x:v>
      </x:c>
      <x:c r="W26" s="12" t="str">
        <x:v>H2 Chuẩn bị trước khi cài | H2 Chọn bản quyền phù hợp | H2 Lỗi thường gặp | H2 Khi nào cần kỹ thuật | H2 FAQ</x:v>
      </x:c>
      <x:c r="X26" s="12" t="str">
        <x:v>Chỉ hướng dẫn quy trình hợp lệ; ảnh minh họa cài đặt hợp pháp.</x:v>
      </x:c>
      <x:c r="Y26" s="12" t="str">
        <x:v>HowTo + FAQ</x:v>
      </x:c>
      <x:c r="Z26" s="12" t="n">
        <x:v>1800</x:v>
      </x:c>
      <x:c r="AA26" s="12" t="n">
        <x:v>4</x:v>
      </x:c>
      <x:c r="AB26" s="12" t="n">
        <x:v>5</x:v>
      </x:c>
      <x:c r="AC26" s="12" t="n">
        <x:v>3</x:v>
      </x:c>
      <x:c r="AD26" s="12" t="str">
        <x:v>Trung bình</x:v>
      </x:c>
      <x:c r="AE26" s="12" t="n">
        <x:f>ROUND(((AA26*0.45)+(AB26*0.40)+(MAX(1,6-AC26)*0.15))*20,0)</x:f>
        <x:v>85</x:v>
      </x:c>
      <x:c r="AF26" s="12" t="str">
        <x:v>Chưa viết</x:v>
      </x:c>
      <x:c r="AG26" s="12" t="str">
        <x:v>Sintech SEO</x:v>
      </x:c>
      <x:c r="AH26" s="14" t="n">
        <x:v>46238</x:v>
      </x:c>
      <x:c r="AI26" s="14" t="n">
        <x:v>46241</x:v>
      </x:c>
      <x:c r="AJ26" s="12" t="str">
        <x:v>Click / Impression / Vị trí / CTR theo URL sau 14-28 ngày</x:v>
      </x:c>
      <x:c r="AK26" s="12" t="str"/>
    </x:row>
    <x:row r="27">
      <x:c r="A27" s="12" t="str">
        <x:v>BLG-026</x:v>
      </x:c>
      <x:c r="B27" s="12" t="str">
        <x:v>GĐ4 - Chuyển traffic rủi ro</x:v>
      </x:c>
      <x:c r="C27" s="12" t="n">
        <x:v>8</x:v>
      </x:c>
      <x:c r="D27" s="14" t="n">
        <x:v>46243</x:v>
      </x:c>
      <x:c r="E27" s="12" t="str">
        <x:v>Phần mềm bản quyền</x:v>
      </x:c>
      <x:c r="F27" s="12" t="str">
        <x:v>A2</x:v>
      </x:c>
      <x:c r="G27" s="12" t="str">
        <x:v>Informational</x:v>
      </x:c>
      <x:c r="H27" s="12" t="str">
        <x:v>TOFU/MOFU</x:v>
      </x:c>
      <x:c r="I27" s="12" t="str">
        <x:v>AutoCAD 2021 Crack Có Nên Dùng Không? Rủi Ro Cho Cá Nhân Và Doanh Nghiệp</x:v>
      </x:c>
      <x:c r="J27" s="12" t="str">
        <x:v>AutoCAD 2021 Crack Có Nên Dùng? Rủi Ro Cần Biết</x:v>
      </x:c>
      <x:c r="K27" s="12" t="n">
        <x:f>LEN(J27)</x:f>
        <x:v>47</x:v>
      </x:c>
      <x:c r="L27" s="12" t="str">
        <x:v>AutoCAD 2021 crack có thể gây rủi ro bảo mật, lỗi file, mất dữ liệu và vấn đề pháp lý. Xem hướng dùng AutoCAD an toàn hơn.</x:v>
      </x:c>
      <x:c r="M27" s="12" t="n">
        <x:f>LEN(L27)</x:f>
        <x:v>122</x:v>
      </x:c>
      <x:c r="N27" s="12" t="str">
        <x:v>autocad 2021 crack</x:v>
      </x:c>
      <x:c r="O27" s="12" t="str">
        <x:v>crack autocad 2021, crack cad 2021, autocad 2021 full crack, file crack autocad 2021</x:v>
      </x:c>
      <x:c r="P27" s="12" t="str">
        <x:v>16M: autocad 2021 full crack 982 click / vị trí 3,7; crack autocad 2021 592 click / vị trí 4,2</x:v>
      </x:c>
      <x:c r="Q27" s="12" t="str">
        <x:v>3M: autocad 2021 full crack 63 click / vị trí 6,2; crack autocad 2021 42 click / vị trí 7,8</x:v>
      </x:c>
      <x:c r="R27" s="12" t="str">
        <x:v>AutoCAD crack giảm so với dài hạn nhưng vẫn có traffic; dùng để chuyển hướng.</x:v>
      </x:c>
      <x:c r="S27" s="12" t="str">
        <x:v>/blogs/huong-dan/autocad-2021-crack-co-nen-dung-khong</x:v>
      </x:c>
      <x:c r="T27" s="12" t="str">
        <x:v>/collections/phan-mem-ban-quyen</x:v>
      </x:c>
      <x:c r="U27" s="12" t="str">
        <x:v>AutoCAD bản quyền; phần mềm bản quyền; cài AutoCAD hợp lệ</x:v>
      </x:c>
      <x:c r="V27" s="12" t="str">
        <x:v>Tư vấn AutoCAD/Autodesk bản quyền và cấu hình PC chạy AutoCAD.</x:v>
      </x:c>
      <x:c r="W27" s="12" t="str">
        <x:v>H2 Vì sao nhiều người dùng crack | H2 Rủi ro bảo mật | H2 Rủi ro file/dự án | H2 Giải pháp bản quyền | H2 PC chạy AutoCAD</x:v>
      </x:c>
      <x:c r="X27" s="12" t="str">
        <x:v>Không hướng dẫn crack; có block đề xuất PC đồ họa/AutoCAD.</x:v>
      </x:c>
      <x:c r="Y27" s="12" t="str">
        <x:v>Article + FAQ</x:v>
      </x:c>
      <x:c r="Z27" s="12" t="n">
        <x:v>2000</x:v>
      </x:c>
      <x:c r="AA27" s="12" t="n">
        <x:v>4</x:v>
      </x:c>
      <x:c r="AB27" s="12" t="n">
        <x:v>4</x:v>
      </x:c>
      <x:c r="AC27" s="12" t="n">
        <x:v>3</x:v>
      </x:c>
      <x:c r="AD27" s="12" t="str">
        <x:v>Cao</x:v>
      </x:c>
      <x:c r="AE27" s="12" t="n">
        <x:f>ROUND(((AA27*0.45)+(AB27*0.40)+(MAX(1,6-AC27)*0.15))*20,0)</x:f>
        <x:v>77</x:v>
      </x:c>
      <x:c r="AF27" s="12" t="str">
        <x:v>Chưa viết</x:v>
      </x:c>
      <x:c r="AG27" s="12" t="str">
        <x:v>Sintech SEO</x:v>
      </x:c>
      <x:c r="AH27" s="14" t="n">
        <x:v>46240</x:v>
      </x:c>
      <x:c r="AI27" s="14" t="n">
        <x:v>46243</x:v>
      </x:c>
      <x:c r="AJ27" s="12" t="str">
        <x:v>Click / Impression / Vị trí / CTR theo URL sau 14-28 ngày</x:v>
      </x:c>
      <x:c r="AK27" s="12" t="str"/>
    </x:row>
    <x:row r="28">
      <x:c r="A28" s="12" t="str">
        <x:v>BLG-027</x:v>
      </x:c>
      <x:c r="B28" s="12" t="str">
        <x:v>GĐ4 - Chuyển traffic rủi ro</x:v>
      </x:c>
      <x:c r="C28" s="12" t="n">
        <x:v>8</x:v>
      </x:c>
      <x:c r="D28" s="14" t="n">
        <x:v>46245</x:v>
      </x:c>
      <x:c r="E28" s="12" t="str">
        <x:v>Phần mềm bản quyền</x:v>
      </x:c>
      <x:c r="F28" s="12" t="str">
        <x:v>A1</x:v>
      </x:c>
      <x:c r="G28" s="12" t="str">
        <x:v>Informational + Commercial</x:v>
      </x:c>
      <x:c r="H28" s="12" t="str">
        <x:v>MOFU</x:v>
      </x:c>
      <x:c r="I28" s="12" t="str">
        <x:v>Hướng Dẫn Cài Đặt AutoCAD 2021 Hợp Lệ Trên Windows 10/11</x:v>
      </x:c>
      <x:c r="J28" s="12" t="str">
        <x:v>Hướng Dẫn Cài Đặt AutoCAD 2021 Hợp Lệ Win 10/11</x:v>
      </x:c>
      <x:c r="K28" s="12" t="n">
        <x:f>LEN(J28)</x:f>
        <x:v>47</x:v>
      </x:c>
      <x:c r="L28" s="12" t="str">
        <x:v>Hướng dẫn chuẩn bị cài đặt AutoCAD 2021 hợp lệ trên Windows 10/11, kiểm tra cấu hình, bản quyền và lỗi thường gặp.</x:v>
      </x:c>
      <x:c r="M28" s="12" t="n">
        <x:f>LEN(L28)</x:f>
        <x:v>114</x:v>
      </x:c>
      <x:c r="N28" s="12" t="str">
        <x:v>hướng dẫn cài đặt autocad 2021</x:v>
      </x:c>
      <x:c r="O28" s="12" t="str">
        <x:v>cài đặt autocad 2021, cài autocad 2021, hướng dẫn cài autocad 2021, cách cài autocad 2021, cài cad 2021</x:v>
      </x:c>
      <x:c r="P28" s="12" t="str">
        <x:v>16M: hướng dẫn cài đặt autocad 2021 167 click / 1.911 hiển thị / vị trí 5,2; cài autocad 2021 124 click</x:v>
      </x:c>
      <x:c r="Q28" s="12" t="str">
        <x:v>3M: hướng dẫn cài đặt autocad 2021 51 click / vị trí 3,7; cài đặt autocad 2021 38 click / vị trí 3,8</x:v>
      </x:c>
      <x:c r="R28" s="12" t="str">
        <x:v>Nhóm cài đặt có CTR tốt và an toàn hơn nhóm crack.</x:v>
      </x:c>
      <x:c r="S28" s="12" t="str">
        <x:v>/blogs/huong-dan/huong-dan-cai-dat-autocad-2021-hop-le</x:v>
      </x:c>
      <x:c r="T28" s="12" t="str">
        <x:v>/collections/phan-mem-ban-quyen</x:v>
      </x:c>
      <x:c r="U28" s="12" t="str">
        <x:v>cài đặt AutoCAD 2021; AutoCAD bản quyền; cài phần mềm chính hãng</x:v>
      </x:c>
      <x:c r="V28" s="12" t="str">
        <x:v>Đặt lịch cài đặt và kiểm tra cấu hình AutoCAD tại Sintech.</x:v>
      </x:c>
      <x:c r="W28" s="12" t="str">
        <x:v>H2 Cấu hình cần có | H2 Chuẩn bị tài khoản/bản quyền | H2 Các bước cài hợp lệ | H2 Lỗi thường gặp | H2 FAQ</x:v>
      </x:c>
      <x:c r="X28" s="12" t="str">
        <x:v>Ảnh từng bước hợp lệ; không crack/active lậu.</x:v>
      </x:c>
      <x:c r="Y28" s="12" t="str">
        <x:v>HowTo + FAQ</x:v>
      </x:c>
      <x:c r="Z28" s="12" t="n">
        <x:v>2200</x:v>
      </x:c>
      <x:c r="AA28" s="12" t="n">
        <x:v>5</x:v>
      </x:c>
      <x:c r="AB28" s="12" t="n">
        <x:v>5</x:v>
      </x:c>
      <x:c r="AC28" s="12" t="n">
        <x:v>4</x:v>
      </x:c>
      <x:c r="AD28" s="12" t="str">
        <x:v>Trung bình</x:v>
      </x:c>
      <x:c r="AE28" s="12" t="n">
        <x:f>ROUND(((AA28*0.45)+(AB28*0.40)+(MAX(1,6-AC28)*0.15))*20,0)</x:f>
        <x:v>91</x:v>
      </x:c>
      <x:c r="AF28" s="12" t="str">
        <x:v>Chưa viết</x:v>
      </x:c>
      <x:c r="AG28" s="12" t="str">
        <x:v>Sintech SEO</x:v>
      </x:c>
      <x:c r="AH28" s="14" t="n">
        <x:v>46242</x:v>
      </x:c>
      <x:c r="AI28" s="14" t="n">
        <x:v>46245</x:v>
      </x:c>
      <x:c r="AJ28" s="12" t="str">
        <x:v>Click / Impression / Vị trí / CTR theo URL sau 14-28 ngày</x:v>
      </x:c>
      <x:c r="AK28" s="12" t="str"/>
    </x:row>
    <x:row r="29">
      <x:c r="A29" s="12" t="str">
        <x:v>BLG-028</x:v>
      </x:c>
      <x:c r="B29" s="12" t="str">
        <x:v>GĐ4 - Chuyển traffic rủi ro</x:v>
      </x:c>
      <x:c r="C29" s="12" t="n">
        <x:v>9</x:v>
      </x:c>
      <x:c r="D29" s="14" t="n">
        <x:v>46248</x:v>
      </x:c>
      <x:c r="E29" s="12" t="str">
        <x:v>Phần mềm bản quyền</x:v>
      </x:c>
      <x:c r="F29" s="12" t="str">
        <x:v>B</x:v>
      </x:c>
      <x:c r="G29" s="12" t="str">
        <x:v>Commercial Investigation</x:v>
      </x:c>
      <x:c r="H29" s="12" t="str">
        <x:v>MOFU</x:v>
      </x:c>
      <x:c r="I29" s="12" t="str">
        <x:v>AutoCAD 2021 Cần Cấu Hình Máy Tính Như Thế Nào Để Chạy Mượt?</x:v>
      </x:c>
      <x:c r="J29" s="12" t="str">
        <x:v>AutoCAD 2021 Cần Cấu Hình Máy Tính Như Thế Nào?</x:v>
      </x:c>
      <x:c r="K29" s="12" t="n">
        <x:f>LEN(J29)</x:f>
        <x:v>47</x:v>
      </x:c>
      <x:c r="L29" s="12" t="str">
        <x:v>Tư vấn cấu hình máy tính chạy AutoCAD 2021 mượt: CPU, RAM, SSD, VGA, màn hình và gợi ý build PC tại Sintech.</x:v>
      </x:c>
      <x:c r="M29" s="12" t="n">
        <x:f>LEN(L29)</x:f>
        <x:v>108</x:v>
      </x:c>
      <x:c r="N29" s="12" t="str">
        <x:v>autocad 2021</x:v>
      </x:c>
      <x:c r="O29" s="12" t="str">
        <x:v>cấu hình autocad 2021, pc autocad, build pc autocad, laptop autocad</x:v>
      </x:c>
      <x:c r="P29" s="12" t="str">
        <x:v>16M: autocad 2021 946 click / 19.003 hiển thị / vị trí 6,7</x:v>
      </x:c>
      <x:c r="Q29" s="12" t="str">
        <x:v>3M: autocad 2021 19 click / 636 hiển thị / vị trí 10,9</x:v>
      </x:c>
      <x:c r="R29" s="12" t="str">
        <x:v>Key rộng giảm mạnh; chuyển sang intent phần cứng/PC để có lợi cho site.</x:v>
      </x:c>
      <x:c r="S29" s="12" t="str">
        <x:v>/blogs/huong-dan/cau-hinh-may-tinh-chay-autocad-2021</x:v>
      </x:c>
      <x:c r="T29" s="12" t="str">
        <x:v>/pages/xay-dung-cau-hinh</x:v>
      </x:c>
      <x:c r="U29" s="12" t="str">
        <x:v>cấu hình máy tính chạy AutoCAD; build PC AutoCAD; PC đồ họa</x:v>
      </x:c>
      <x:c r="V29" s="12" t="str">
        <x:v>Dùng tool Build PC để chọn cấu hình AutoCAD phù hợp.</x:v>
      </x:c>
      <x:c r="W29" s="12" t="str">
        <x:v>H2 AutoCAD cần CPU/RAM nào | H2 2D vs 3D | H2 SSD/VGA | H2 Cấu hình đề xuất | H2 FAQ</x:v>
      </x:c>
      <x:c r="X29" s="12" t="str">
        <x:v>Dẫn nguồn cấu hình chính thức nếu viết chi tiết; tránh bịa thông số.</x:v>
      </x:c>
      <x:c r="Y29" s="12" t="str">
        <x:v>Article + FAQ</x:v>
      </x:c>
      <x:c r="Z29" s="12" t="n">
        <x:v>2000</x:v>
      </x:c>
      <x:c r="AA29" s="12" t="n">
        <x:v>4</x:v>
      </x:c>
      <x:c r="AB29" s="12" t="n">
        <x:v>5</x:v>
      </x:c>
      <x:c r="AC29" s="12" t="n">
        <x:v>4</x:v>
      </x:c>
      <x:c r="AD29" s="12" t="str">
        <x:v>Thấp</x:v>
      </x:c>
      <x:c r="AE29" s="12" t="n">
        <x:f>ROUND(((AA29*0.45)+(AB29*0.40)+(MAX(1,6-AC29)*0.15))*20,0)</x:f>
        <x:v>82</x:v>
      </x:c>
      <x:c r="AF29" s="12" t="str">
        <x:v>Chưa viết</x:v>
      </x:c>
      <x:c r="AG29" s="12" t="str">
        <x:v>Sintech SEO</x:v>
      </x:c>
      <x:c r="AH29" s="14" t="n">
        <x:v>46245</x:v>
      </x:c>
      <x:c r="AI29" s="14" t="n">
        <x:v>46248</x:v>
      </x:c>
      <x:c r="AJ29" s="12" t="str">
        <x:v>Click / Impression / Vị trí / CTR theo URL sau 14-28 ngày</x:v>
      </x:c>
      <x:c r="AK29" s="12" t="str"/>
    </x:row>
    <x:row r="30">
      <x:c r="A30" s="12" t="str">
        <x:v>BLG-029</x:v>
      </x:c>
      <x:c r="B30" s="12" t="str">
        <x:v>GĐ4 - Chuyển traffic rủi ro</x:v>
      </x:c>
      <x:c r="C30" s="12" t="n">
        <x:v>9</x:v>
      </x:c>
      <x:c r="D30" s="14" t="n">
        <x:v>46250</x:v>
      </x:c>
      <x:c r="E30" s="12" t="str">
        <x:v>Phần mềm bản quyền</x:v>
      </x:c>
      <x:c r="F30" s="12" t="str">
        <x:v>B</x:v>
      </x:c>
      <x:c r="G30" s="12" t="str">
        <x:v>Informational</x:v>
      </x:c>
      <x:c r="H30" s="12" t="str">
        <x:v>TOFU/MOFU</x:v>
      </x:c>
      <x:c r="I30" s="12" t="str">
        <x:v>Adobe Acrobat Crack Có An Toàn Không? Rủi Ro Khi Xử Lý File PDF</x:v>
      </x:c>
      <x:c r="J30" s="12" t="str">
        <x:v>Adobe Acrobat Crack Có An Toàn Không? Rủi Ro PDF</x:v>
      </x:c>
      <x:c r="K30" s="12" t="n">
        <x:f>LEN(J30)</x:f>
        <x:v>48</x:v>
      </x:c>
      <x:c r="L30" s="12" t="str">
        <x:v>Adobe Acrobat crack có thể làm lộ file PDF, nhiễm mã độc và lỗi cập nhật. Xem lựa chọn PDF an toàn cho cá nhân/doanh nghiệp.</x:v>
      </x:c>
      <x:c r="M30" s="12" t="n">
        <x:f>LEN(L30)</x:f>
        <x:v>124</x:v>
      </x:c>
      <x:c r="N30" s="12" t="str">
        <x:v>adobe acrobat crack</x:v>
      </x:c>
      <x:c r="O30" s="12" t="str">
        <x:v>adobe acrobat pro full crack, adobe acrobat full crack, acrobat crack, acrobat reader crack, adobe pdf crack</x:v>
      </x:c>
      <x:c r="P30" s="12" t="str">
        <x:v>16M: adobe acrobat pro full crack 181 click; adobe acrobat crack 139 click; nhiều key vị trí 7-10</x:v>
      </x:c>
      <x:c r="Q30" s="12" t="str">
        <x:v>3M: adobe acrobat pro full crack 9 click / vị trí 17,2; adobe acrobat full crack 8 click / vị trí 20,2</x:v>
      </x:c>
      <x:c r="R30" s="12" t="str">
        <x:v>Dài hạn có traffic nhưng 3 tháng yếu; làm sau Office/AutoCAD.</x:v>
      </x:c>
      <x:c r="S30" s="12" t="str">
        <x:v>/blogs/huong-dan/adobe-acrobat-crack-co-an-toan-khong</x:v>
      </x:c>
      <x:c r="T30" s="12" t="str">
        <x:v>/collections/phan-mem-ban-quyen</x:v>
      </x:c>
      <x:c r="U30" s="12" t="str">
        <x:v>Adobe Acrobat bản quyền; phần mềm PDF an toàn; phần mềm bản quyền</x:v>
      </x:c>
      <x:c r="V30" s="12" t="str">
        <x:v>Tư vấn phần mềm PDF bản quyền phù hợp nhu cầu.</x:v>
      </x:c>
      <x:c r="W30" s="12" t="str">
        <x:v>H2 Rủi ro file PDF | H2 Malware | H2 Vấn đề doanh nghiệp | H2 Lựa chọn bản quyền | H2 FAQ</x:v>
      </x:c>
      <x:c r="X30" s="12" t="str">
        <x:v>Tránh hướng dẫn crack; tập trung bảo mật dữ liệu.</x:v>
      </x:c>
      <x:c r="Y30" s="12" t="str">
        <x:v>Article + FAQ</x:v>
      </x:c>
      <x:c r="Z30" s="12" t="n">
        <x:v>1700</x:v>
      </x:c>
      <x:c r="AA30" s="12" t="n">
        <x:v>3</x:v>
      </x:c>
      <x:c r="AB30" s="12" t="n">
        <x:v>3</x:v>
      </x:c>
      <x:c r="AC30" s="12" t="n">
        <x:v>3</x:v>
      </x:c>
      <x:c r="AD30" s="12" t="str">
        <x:v>Cao</x:v>
      </x:c>
      <x:c r="AE30" s="12" t="n">
        <x:f>ROUND(((AA30*0.45)+(AB30*0.40)+(MAX(1,6-AC30)*0.15))*20,0)</x:f>
        <x:v>60</x:v>
      </x:c>
      <x:c r="AF30" s="12" t="str">
        <x:v>Chưa viết</x:v>
      </x:c>
      <x:c r="AG30" s="12" t="str">
        <x:v>Sintech SEO</x:v>
      </x:c>
      <x:c r="AH30" s="14" t="n">
        <x:v>46247</x:v>
      </x:c>
      <x:c r="AI30" s="14" t="n">
        <x:v>46250</x:v>
      </x:c>
      <x:c r="AJ30" s="12" t="str">
        <x:v>Click / Impression / Vị trí / CTR theo URL sau 14-28 ngày</x:v>
      </x:c>
      <x:c r="AK30" s="12" t="str"/>
    </x:row>
    <x:row r="31">
      <x:c r="A31" s="12" t="str">
        <x:v>BLG-030</x:v>
      </x:c>
      <x:c r="B31" s="12" t="str">
        <x:v>GĐ4 - Chuyển traffic rủi ro</x:v>
      </x:c>
      <x:c r="C31" s="12" t="n">
        <x:v>10</x:v>
      </x:c>
      <x:c r="D31" s="14" t="n">
        <x:v>46255</x:v>
      </x:c>
      <x:c r="E31" s="12" t="str">
        <x:v>Phần mềm bản quyền</x:v>
      </x:c>
      <x:c r="F31" s="12" t="str">
        <x:v>C</x:v>
      </x:c>
      <x:c r="G31" s="12" t="str">
        <x:v>Informational</x:v>
      </x:c>
      <x:c r="H31" s="12" t="str">
        <x:v>TOFU</x:v>
      </x:c>
      <x:c r="I31" s="12" t="str">
        <x:v>CorelDRAW 2019/2021 Crack Có Nên Dùng Không? Rủi Ro Và Lựa Chọn Hợp Lệ</x:v>
      </x:c>
      <x:c r="J31" s="12" t="str">
        <x:v>CorelDRAW 2019/2021 Crack Có Nên Dùng Không?</x:v>
      </x:c>
      <x:c r="K31" s="12" t="n">
        <x:f>LEN(J31)</x:f>
        <x:v>44</x:v>
      </x:c>
      <x:c r="L31" s="12" t="str">
        <x:v>Phân tích rủi ro khi dùng CorelDRAW crack và gợi ý lựa chọn phần mềm thiết kế hợp lệ, an toàn cho công việc.</x:v>
      </x:c>
      <x:c r="M31" s="12" t="n">
        <x:f>LEN(L31)</x:f>
        <x:v>108</x:v>
      </x:c>
      <x:c r="N31" s="12" t="str">
        <x:v>coreldraw 2019</x:v>
      </x:c>
      <x:c r="O31" s="12" t="str">
        <x:v>corel 2019 full, corel 2021 full, coreldraw 2021 full, crack corel 2019</x:v>
      </x:c>
      <x:c r="P31" s="12" t="str">
        <x:v>16M: corel 2019 28 click / 792 hiển thị / vị trí 7,8</x:v>
      </x:c>
      <x:c r="Q31" s="12" t="str">
        <x:v>3M: corel 2019 16 click / 211 hiển thị / vị trí 6,6</x:v>
      </x:c>
      <x:c r="R31" s="12" t="str">
        <x:v>Có tín hiệu nhưng không sát ngành bằng Office/AutoCAD; để backlog.</x:v>
      </x:c>
      <x:c r="S31" s="12" t="str">
        <x:v>/blogs/huong-dan/coreldraw-crack-co-nen-dung-khong</x:v>
      </x:c>
      <x:c r="T31" s="12" t="str">
        <x:v>/collections/phan-mem-ban-quyen</x:v>
      </x:c>
      <x:c r="U31" s="12" t="str">
        <x:v>CorelDRAW bản quyền; phần mềm thiết kế bản quyền</x:v>
      </x:c>
      <x:c r="V31" s="12" t="str">
        <x:v>Hỏi Sintech về phần mềm bản quyền phù hợp công việc thiết kế.</x:v>
      </x:c>
      <x:c r="W31" s="12" t="str">
        <x:v>H2 CorelDRAW dùng để làm gì | H2 Rủi ro crack | H2 Lựa chọn hợp lệ | H2 Máy cần cấu hình gì | H2 FAQ</x:v>
      </x:c>
      <x:c r="X31" s="12" t="str">
        <x:v>Không hướng dẫn crack; có thể link PC đồ họa.</x:v>
      </x:c>
      <x:c r="Y31" s="12" t="str">
        <x:v>Article + FAQ</x:v>
      </x:c>
      <x:c r="Z31" s="12" t="n">
        <x:v>1600</x:v>
      </x:c>
      <x:c r="AA31" s="12" t="n">
        <x:v>2</x:v>
      </x:c>
      <x:c r="AB31" s="12" t="n">
        <x:v>3</x:v>
      </x:c>
      <x:c r="AC31" s="12" t="n">
        <x:v>3</x:v>
      </x:c>
      <x:c r="AD31" s="12" t="str">
        <x:v>Cao</x:v>
      </x:c>
      <x:c r="AE31" s="12" t="n">
        <x:f>ROUND(((AA31*0.45)+(AB31*0.40)+(MAX(1,6-AC31)*0.15))*20,0)</x:f>
        <x:v>51</x:v>
      </x:c>
      <x:c r="AF31" s="12" t="str">
        <x:v>Chưa viết</x:v>
      </x:c>
      <x:c r="AG31" s="12" t="str">
        <x:v>Sintech SEO</x:v>
      </x:c>
      <x:c r="AH31" s="14" t="n">
        <x:v>46252</x:v>
      </x:c>
      <x:c r="AI31" s="14" t="n">
        <x:v>46255</x:v>
      </x:c>
      <x:c r="AJ31" s="12" t="str">
        <x:v>Click / Impression / Vị trí / CTR theo URL sau 14-28 ngày</x:v>
      </x:c>
      <x:c r="AK31" s="12" t="str"/>
    </x:row>
    <x:row r="32">
      <x:c r="A32" s="12" t="str">
        <x:v>BLG-031</x:v>
      </x:c>
      <x:c r="B32" s="12" t="str">
        <x:v>GĐ5 - Local SEO</x:v>
      </x:c>
      <x:c r="C32" s="12" t="n">
        <x:v>9</x:v>
      </x:c>
      <x:c r="D32" s="14" t="n">
        <x:v>46252</x:v>
      </x:c>
      <x:c r="E32" s="12" t="str">
        <x:v>Dịch vụ Quận 7</x:v>
      </x:c>
      <x:c r="F32" s="12" t="str">
        <x:v>A1</x:v>
      </x:c>
      <x:c r="G32" s="12" t="str">
        <x:v>Local Commercial</x:v>
      </x:c>
      <x:c r="H32" s="12" t="str">
        <x:v>BOFU</x:v>
      </x:c>
      <x:c r="I32" s="12" t="str">
        <x:v>Sửa Máy Tính Quận 7: Kiểm Tra, Cài Đặt, Nâng Cấp PC/Laptop Tại Sintech</x:v>
      </x:c>
      <x:c r="J32" s="12" t="str">
        <x:v>Sửa Máy Tính Quận 7 Uy Tín, Kiểm Tra Nhanh | Sintech</x:v>
      </x:c>
      <x:c r="K32" s="12" t="n">
        <x:f>LEN(J32)</x:f>
        <x:v>52</x:v>
      </x:c>
      <x:c r="L32" s="12" t="str">
        <x:v>Dịch vụ sửa máy tính Quận 7 tại Sintech: kiểm tra lỗi, cài Windows, nâng cấp SSD/RAM, vệ sinh và tư vấn linh kiện.</x:v>
      </x:c>
      <x:c r="M32" s="12" t="n">
        <x:f>LEN(L32)</x:f>
        <x:v>114</x:v>
      </x:c>
      <x:c r="N32" s="12" t="str">
        <x:v>sửa máy tính quận 7</x:v>
      </x:c>
      <x:c r="O32" s="12" t="str">
        <x:v>sua may tinh quan 7, sửa máy tính q7, sửa pc quận 7, pc quận 7, sửa máy tính quận 7 tận nơi</x:v>
      </x:c>
      <x:c r="P32" s="12" t="str">
        <x:v>16M: sửa máy tính quận 7 92 click / 5.014 hiển thị / vị trí 13,1</x:v>
      </x:c>
      <x:c r="Q32" s="12" t="str">
        <x:v>3M: sửa máy tính quận 7 4 click / 529 hiển thị / vị trí 16,1</x:v>
      </x:c>
      <x:c r="R32" s="12" t="str">
        <x:v>Đang tụt; cần landing + blog local rõ ràng.</x:v>
      </x:c>
      <x:c r="S32" s="12" t="str">
        <x:v>/blogs/dich-vu/sua-may-tinh-quan-7</x:v>
      </x:c>
      <x:c r="T32" s="12" t="str">
        <x:v>/pages/sua-may-tinh-quan-7</x:v>
      </x:c>
      <x:c r="U32" s="12" t="str">
        <x:v>sửa máy tính Quận 7; sửa PC Quận 7; Sintech Quận 7</x:v>
      </x:c>
      <x:c r="V32" s="12" t="str">
        <x:v>Gọi/Zalo Sintech để đặt lịch kiểm tra máy.</x:v>
      </x:c>
      <x:c r="W32" s="12" t="str">
        <x:v>H2 Khi nào cần sửa máy | H2 Các lỗi nhận xử lý | H2 Quy trình kiểm tra | H2 Bảng giá tham khảo | H2 Khu vực phục vụ | H2 FAQ</x:v>
      </x:c>
      <x:c r="X32" s="12" t="str">
        <x:v>Ảnh shop/địa chỉ; map; ảnh kỹ thuật thật; bảng giá dịch vụ.</x:v>
      </x:c>
      <x:c r="Y32" s="12" t="str">
        <x:v>LocalBusiness + Service + FAQ</x:v>
      </x:c>
      <x:c r="Z32" s="12" t="n">
        <x:v>1900</x:v>
      </x:c>
      <x:c r="AA32" s="12" t="n">
        <x:v>5</x:v>
      </x:c>
      <x:c r="AB32" s="12" t="n">
        <x:v>5</x:v>
      </x:c>
      <x:c r="AC32" s="12" t="n">
        <x:v>3</x:v>
      </x:c>
      <x:c r="AD32" s="12" t="str">
        <x:v>Thấp</x:v>
      </x:c>
      <x:c r="AE32" s="12" t="n">
        <x:f>ROUND(((AA32*0.45)+(AB32*0.40)+(MAX(1,6-AC32)*0.15))*20,0)</x:f>
        <x:v>94</x:v>
      </x:c>
      <x:c r="AF32" s="12" t="str">
        <x:v>Chưa viết</x:v>
      </x:c>
      <x:c r="AG32" s="12" t="str">
        <x:v>Sintech SEO</x:v>
      </x:c>
      <x:c r="AH32" s="14" t="n">
        <x:v>46249</x:v>
      </x:c>
      <x:c r="AI32" s="14" t="n">
        <x:v>46252</x:v>
      </x:c>
      <x:c r="AJ32" s="12" t="str">
        <x:v>Click / Impression / Vị trí / CTR theo URL sau 14-28 ngày</x:v>
      </x:c>
      <x:c r="AK32" s="12" t="str"/>
    </x:row>
    <x:row r="33">
      <x:c r="A33" s="12" t="str">
        <x:v>BLG-032</x:v>
      </x:c>
      <x:c r="B33" s="12" t="str">
        <x:v>GĐ5 - Local SEO</x:v>
      </x:c>
      <x:c r="C33" s="12" t="n">
        <x:v>9</x:v>
      </x:c>
      <x:c r="D33" s="14" t="n">
        <x:v>46253</x:v>
      </x:c>
      <x:c r="E33" s="12" t="str">
        <x:v>Dịch vụ Quận 7</x:v>
      </x:c>
      <x:c r="F33" s="12" t="str">
        <x:v>A2</x:v>
      </x:c>
      <x:c r="G33" s="12" t="str">
        <x:v>Local Commercial</x:v>
      </x:c>
      <x:c r="H33" s="12" t="str">
        <x:v>BOFU</x:v>
      </x:c>
      <x:c r="I33" s="12" t="str">
        <x:v>Sửa Laptop Quận 7: Khi Nào Nên Mang Máy Đi Kiểm Tra?</x:v>
      </x:c>
      <x:c r="J33" s="12" t="str">
        <x:v>Sửa Laptop Quận 7 Uy Tín, Kiểm Tra Nhanh | Sintech</x:v>
      </x:c>
      <x:c r="K33" s="12" t="n">
        <x:f>LEN(J33)</x:f>
        <x:v>50</x:v>
      </x:c>
      <x:c r="L33" s="12" t="str">
        <x:v>Sửa laptop Quận 7 tại Sintech: kiểm tra laptop chậm, nóng, lỗi Windows, nâng cấp SSD/RAM, vệ sinh và cài phần mềm.</x:v>
      </x:c>
      <x:c r="M33" s="12" t="n">
        <x:f>LEN(L33)</x:f>
        <x:v>114</x:v>
      </x:c>
      <x:c r="N33" s="12" t="str">
        <x:v>sửa laptop quận 7</x:v>
      </x:c>
      <x:c r="O33" s="12" t="str">
        <x:v>laptop quận 7, sửa laptop q7, vệ sinh laptop quận 7, laptop nóng, laptop chậm</x:v>
      </x:c>
      <x:c r="P33" s="12" t="str">
        <x:v>16M: sửa laptop quận 7 16 click / 2.743 hiển thị / vị trí 11,8</x:v>
      </x:c>
      <x:c r="Q33" s="12" t="str">
        <x:v>3M: sửa laptop quận 7 5 click / 303 hiển thị / vị trí 12,4</x:v>
      </x:c>
      <x:c r="R33" s="12" t="str">
        <x:v>Vị trí còn thấp nhưng intent local rõ.</x:v>
      </x:c>
      <x:c r="S33" s="12" t="str">
        <x:v>/blogs/dich-vu/sua-laptop-quan-7</x:v>
      </x:c>
      <x:c r="T33" s="12" t="str">
        <x:v>/pages/sua-laptop-quan-7</x:v>
      </x:c>
      <x:c r="U33" s="12" t="str">
        <x:v>sửa laptop Quận 7; vệ sinh laptop Quận 7; nâng cấp laptop</x:v>
      </x:c>
      <x:c r="V33" s="12" t="str">
        <x:v>Mang laptop đến Sintech kiểm tra và báo giá trước khi sửa.</x:v>
      </x:c>
      <x:c r="W33" s="12" t="str">
        <x:v>H2 Dấu hiệu cần kiểm tra | H2 Lỗi thường gặp | H2 Quy trình | H2 Nâng cấp SSD/RAM | H2 FAQ</x:v>
      </x:c>
      <x:c r="X33" s="12" t="str">
        <x:v>Ảnh laptop thật; bảng giá; địa chỉ/map.</x:v>
      </x:c>
      <x:c r="Y33" s="12" t="str">
        <x:v>LocalBusiness + Service + FAQ</x:v>
      </x:c>
      <x:c r="Z33" s="12" t="n">
        <x:v>1700</x:v>
      </x:c>
      <x:c r="AA33" s="12" t="n">
        <x:v>4</x:v>
      </x:c>
      <x:c r="AB33" s="12" t="n">
        <x:v>5</x:v>
      </x:c>
      <x:c r="AC33" s="12" t="n">
        <x:v>3</x:v>
      </x:c>
      <x:c r="AD33" s="12" t="str">
        <x:v>Thấp</x:v>
      </x:c>
      <x:c r="AE33" s="12" t="n">
        <x:f>ROUND(((AA33*0.45)+(AB33*0.40)+(MAX(1,6-AC33)*0.15))*20,0)</x:f>
        <x:v>85</x:v>
      </x:c>
      <x:c r="AF33" s="12" t="str">
        <x:v>Chưa viết</x:v>
      </x:c>
      <x:c r="AG33" s="12" t="str">
        <x:v>Sintech SEO</x:v>
      </x:c>
      <x:c r="AH33" s="14" t="n">
        <x:v>46250</x:v>
      </x:c>
      <x:c r="AI33" s="14" t="n">
        <x:v>46253</x:v>
      </x:c>
      <x:c r="AJ33" s="12" t="str">
        <x:v>Click / Impression / Vị trí / CTR theo URL sau 14-28 ngày</x:v>
      </x:c>
      <x:c r="AK33" s="12" t="str"/>
    </x:row>
    <x:row r="34">
      <x:c r="A34" s="12" t="str">
        <x:v>BLG-033</x:v>
      </x:c>
      <x:c r="B34" s="12" t="str">
        <x:v>GĐ5 - Local SEO</x:v>
      </x:c>
      <x:c r="C34" s="12" t="n">
        <x:v>10</x:v>
      </x:c>
      <x:c r="D34" s="14" t="n">
        <x:v>46257</x:v>
      </x:c>
      <x:c r="E34" s="12" t="str">
        <x:v>Dịch vụ Quận 7</x:v>
      </x:c>
      <x:c r="F34" s="12" t="str">
        <x:v>A2</x:v>
      </x:c>
      <x:c r="G34" s="12" t="str">
        <x:v>Local Commercial</x:v>
      </x:c>
      <x:c r="H34" s="12" t="str">
        <x:v>BOFU</x:v>
      </x:c>
      <x:c r="I34" s="12" t="str">
        <x:v>Vệ Sinh Laptop Quận 7: Bao Lâu Nên Vệ Sinh Và Thay Keo Tản Nhiệt?</x:v>
      </x:c>
      <x:c r="J34" s="12" t="str">
        <x:v>Vệ Sinh Laptop Quận 7, Thay Keo Tản Nhiệt | Sintech</x:v>
      </x:c>
      <x:c r="K34" s="12" t="n">
        <x:f>LEN(J34)</x:f>
        <x:v>51</x:v>
      </x:c>
      <x:c r="L34" s="12" t="str">
        <x:v>Dịch vụ vệ sinh laptop Quận 7, thay keo tản nhiệt, kiểm tra nhiệt độ và làm sạch bụi giúp máy chạy ổn định hơn.</x:v>
      </x:c>
      <x:c r="M34" s="12" t="n">
        <x:f>LEN(L34)</x:f>
        <x:v>111</x:v>
      </x:c>
      <x:c r="N34" s="12" t="str">
        <x:v>vệ sinh laptop quận 7</x:v>
      </x:c>
      <x:c r="O34" s="12" t="str">
        <x:v>vệ sinh laptop, thay keo tản nhiệt, laptop nóng, vệ sinh máy tính quận 7</x:v>
      </x:c>
      <x:c r="P34" s="12" t="str">
        <x:v>16M: vệ sinh laptop quận 7 có hiển thị trong cụm local, chưa mạnh.</x:v>
      </x:c>
      <x:c r="Q34" s="12" t="str">
        <x:v>3M: vệ sinh laptop quận 7 2 click / 109 hiển thị / vị trí 8,9</x:v>
      </x:c>
      <x:c r="R34" s="12" t="str">
        <x:v>Ít click nhưng vị trí tương đối tốt; dễ chuyển đổi local.</x:v>
      </x:c>
      <x:c r="S34" s="12" t="str">
        <x:v>/blogs/dich-vu/ve-sinh-laptop-quan-7</x:v>
      </x:c>
      <x:c r="T34" s="12" t="str">
        <x:v>/pages/ve-sinh-laptop</x:v>
      </x:c>
      <x:c r="U34" s="12" t="str">
        <x:v>vệ sinh laptop Quận 7; thay keo tản nhiệt laptop; laptop nóng</x:v>
      </x:c>
      <x:c r="V34" s="12" t="str">
        <x:v>Đặt lịch vệ sinh laptop tại Sintech.</x:v>
      </x:c>
      <x:c r="W34" s="12" t="str">
        <x:v>H2 Bao lâu nên vệ sinh | H2 Dấu hiệu laptop nóng | H2 Quy trình vệ sinh | H2 Thay keo tản nhiệt | H2 FAQ</x:v>
      </x:c>
      <x:c r="X34" s="12" t="str">
        <x:v>Ảnh trước/sau vệ sinh; video ngắn; bảng giá.</x:v>
      </x:c>
      <x:c r="Y34" s="12" t="str">
        <x:v>LocalBusiness + Service + FAQ</x:v>
      </x:c>
      <x:c r="Z34" s="12" t="n">
        <x:v>1600</x:v>
      </x:c>
      <x:c r="AA34" s="12" t="n">
        <x:v>4</x:v>
      </x:c>
      <x:c r="AB34" s="12" t="n">
        <x:v>5</x:v>
      </x:c>
      <x:c r="AC34" s="12" t="n">
        <x:v>2</x:v>
      </x:c>
      <x:c r="AD34" s="12" t="str">
        <x:v>Thấp</x:v>
      </x:c>
      <x:c r="AE34" s="12" t="n">
        <x:f>ROUND(((AA34*0.45)+(AB34*0.40)+(MAX(1,6-AC34)*0.15))*20,0)</x:f>
        <x:v>88</x:v>
      </x:c>
      <x:c r="AF34" s="12" t="str">
        <x:v>Chưa viết</x:v>
      </x:c>
      <x:c r="AG34" s="12" t="str">
        <x:v>Sintech SEO</x:v>
      </x:c>
      <x:c r="AH34" s="14" t="n">
        <x:v>46254</x:v>
      </x:c>
      <x:c r="AI34" s="14" t="n">
        <x:v>46257</x:v>
      </x:c>
      <x:c r="AJ34" s="12" t="str">
        <x:v>Click / Impression / Vị trí / CTR theo URL sau 14-28 ngày</x:v>
      </x:c>
      <x:c r="AK34" s="12" t="str"/>
    </x:row>
    <x:row r="35">
      <x:c r="A35" s="12" t="str">
        <x:v>BLG-034</x:v>
      </x:c>
      <x:c r="B35" s="12" t="str">
        <x:v>GĐ5 - Local SEO</x:v>
      </x:c>
      <x:c r="C35" s="12" t="n">
        <x:v>10</x:v>
      </x:c>
      <x:c r="D35" s="14" t="n">
        <x:v>46259</x:v>
      </x:c>
      <x:c r="E35" s="12" t="str">
        <x:v>Dịch vụ Quận 7</x:v>
      </x:c>
      <x:c r="F35" s="12" t="str">
        <x:v>A2</x:v>
      </x:c>
      <x:c r="G35" s="12" t="str">
        <x:v>Local Commercial</x:v>
      </x:c>
      <x:c r="H35" s="12" t="str">
        <x:v>BOFU</x:v>
      </x:c>
      <x:c r="I35" s="12" t="str">
        <x:v>Vệ Sinh PC Tại Quận 7: Dấu Hiệu Máy Cần Bảo Dưỡng Ngay</x:v>
      </x:c>
      <x:c r="J35" s="12" t="str">
        <x:v>Vệ Sinh PC Quận 7, Vệ Sinh Máy Tính Gaming | Sintech</x:v>
      </x:c>
      <x:c r="K35" s="12" t="n">
        <x:f>LEN(J35)</x:f>
        <x:v>52</x:v>
      </x:c>
      <x:c r="L35" s="12" t="str">
        <x:v>Vệ sinh PC tại Quận 7, làm sạch bụi, thay keo CPU/GPU, đi dây, kiểm tra nhiệt độ và bảo dưỡng máy tính gaming.</x:v>
      </x:c>
      <x:c r="M35" s="12" t="n">
        <x:f>LEN(L35)</x:f>
        <x:v>110</x:v>
      </x:c>
      <x:c r="N35" s="12" t="str">
        <x:v>vệ sinh pc quận 7</x:v>
      </x:c>
      <x:c r="O35" s="12" t="str">
        <x:v>vệ sinh máy tính quận 7, vệ sinh PC, thay keo CPU, thay keo VGA</x:v>
      </x:c>
      <x:c r="P35" s="12" t="str">
        <x:v>16M: local service có hiển thị nhưng cần nội dung riêng.</x:v>
      </x:c>
      <x:c r="Q35" s="12" t="str">
        <x:v>3M: sửa pc quận 7 1 click / 24 hiển thị / vị trí 9,7; pc quận 7 2 click / 24 hiển thị / vị trí 6,8</x:v>
      </x:c>
      <x:c r="R35" s="12" t="str">
        <x:v>Cụm dịch vụ phụ trợ, tốt cho local conversion.</x:v>
      </x:c>
      <x:c r="S35" s="12" t="str">
        <x:v>/blogs/dich-vu/ve-sinh-pc-quan-7</x:v>
      </x:c>
      <x:c r="T35" s="12" t="str">
        <x:v>/pages/ve-sinh-pc-tai-cua-hang</x:v>
      </x:c>
      <x:c r="U35" s="12" t="str">
        <x:v>vệ sinh PC Quận 7; vệ sinh máy tính gaming; thay keo PC</x:v>
      </x:c>
      <x:c r="V35" s="12" t="str">
        <x:v>Mang PC đến Sintech vệ sinh và test nhiệt sau khi làm.</x:v>
      </x:c>
      <x:c r="W35" s="12" t="str">
        <x:v>H2 Khi nào cần vệ sinh PC | H2 Quy trình | H2 Thay keo/tản | H2 Lợi ích | H2 FAQ</x:v>
      </x:c>
      <x:c r="X35" s="12" t="str">
        <x:v>Ảnh before/after; bảng giá; ảnh kỹ thuật thật.</x:v>
      </x:c>
      <x:c r="Y35" s="12" t="str">
        <x:v>LocalBusiness + Service + FAQ</x:v>
      </x:c>
      <x:c r="Z35" s="12" t="n">
        <x:v>1600</x:v>
      </x:c>
      <x:c r="AA35" s="12" t="n">
        <x:v>4</x:v>
      </x:c>
      <x:c r="AB35" s="12" t="n">
        <x:v>5</x:v>
      </x:c>
      <x:c r="AC35" s="12" t="n">
        <x:v>2</x:v>
      </x:c>
      <x:c r="AD35" s="12" t="str">
        <x:v>Thấp</x:v>
      </x:c>
      <x:c r="AE35" s="12" t="n">
        <x:f>ROUND(((AA35*0.45)+(AB35*0.40)+(MAX(1,6-AC35)*0.15))*20,0)</x:f>
        <x:v>88</x:v>
      </x:c>
      <x:c r="AF35" s="12" t="str">
        <x:v>Chưa viết</x:v>
      </x:c>
      <x:c r="AG35" s="12" t="str">
        <x:v>Sintech SEO</x:v>
      </x:c>
      <x:c r="AH35" s="14" t="n">
        <x:v>46256</x:v>
      </x:c>
      <x:c r="AI35" s="14" t="n">
        <x:v>46259</x:v>
      </x:c>
      <x:c r="AJ35" s="12" t="str">
        <x:v>Click / Impression / Vị trí / CTR theo URL sau 14-28 ngày</x:v>
      </x:c>
      <x:c r="AK35" s="12" t="str"/>
    </x:row>
    <x:row r="36">
      <x:c r="A36" s="12" t="str">
        <x:v>BLG-035</x:v>
      </x:c>
      <x:c r="B36" s="12" t="str">
        <x:v>GĐ5 - Local SEO</x:v>
      </x:c>
      <x:c r="C36" s="12" t="n">
        <x:v>10</x:v>
      </x:c>
      <x:c r="D36" s="14" t="n">
        <x:v>46260</x:v>
      </x:c>
      <x:c r="E36" s="12" t="str">
        <x:v>Dịch vụ Quận 7</x:v>
      </x:c>
      <x:c r="F36" s="12" t="str">
        <x:v>B</x:v>
      </x:c>
      <x:c r="G36" s="12" t="str">
        <x:v>Local Commercial</x:v>
      </x:c>
      <x:c r="H36" s="12" t="str">
        <x:v>BOFU</x:v>
      </x:c>
      <x:c r="I36" s="12" t="str">
        <x:v>Cài Windows Và Phần Mềm Tại Quận 7: Khi Nào Nên Cài Lại Máy?</x:v>
      </x:c>
      <x:c r="J36" s="12" t="str">
        <x:v>Cài Windows Và Phần Mềm Tại Quận 7 | Sintech</x:v>
      </x:c>
      <x:c r="K36" s="12" t="n">
        <x:f>LEN(J36)</x:f>
        <x:v>44</x:v>
      </x:c>
      <x:c r="L36" s="12" t="str">
        <x:v>Cài Windows và phần mềm tại Quận 7: xử lý máy chậm, lỗi hệ điều hành, driver, Office bản quyền và phần mềm làm việc.</x:v>
      </x:c>
      <x:c r="M36" s="12" t="n">
        <x:f>LEN(L36)</x:f>
        <x:v>116</x:v>
      </x:c>
      <x:c r="N36" s="12" t="str">
        <x:v>cài windows quận 7</x:v>
      </x:c>
      <x:c r="O36" s="12" t="str">
        <x:v>cài phần mềm, cài win cho laptop, cài office bản quyền, sửa máy tính q7</x:v>
      </x:c>
      <x:c r="P36" s="12" t="str">
        <x:v>16M: dịch vụ cài đặt có liên quan Office/Windows nhưng chưa tách landing.</x:v>
      </x:c>
      <x:c r="Q36" s="12" t="str">
        <x:v>3M: sửa máy tính q7 1 click / 36 hiển thị / vị trí 12,8; cài office có nhiều tín hiệu.</x:v>
      </x:c>
      <x:c r="R36" s="12" t="str">
        <x:v>Gom nhu cầu dịch vụ + phần mềm bản quyền.</x:v>
      </x:c>
      <x:c r="S36" s="12" t="str">
        <x:v>/blogs/dich-vu/cai-windows-phan-mem-quan-7</x:v>
      </x:c>
      <x:c r="T36" s="12" t="str">
        <x:v>/pages/cai-dat-windows-phan-mem</x:v>
      </x:c>
      <x:c r="U36" s="12" t="str">
        <x:v>cài Windows Quận 7; cài phần mềm bản quyền; cài Office</x:v>
      </x:c>
      <x:c r="V36" s="12" t="str">
        <x:v>Đặt lịch cài Windows/phần mềm tại Sintech.</x:v>
      </x:c>
      <x:c r="W36" s="12" t="str">
        <x:v>H2 Khi nào cài lại Windows | H2 Sao lưu dữ liệu | H2 Driver/phần mềm | H2 Office bản quyền | H2 FAQ</x:v>
      </x:c>
      <x:c r="X36" s="12" t="str">
        <x:v>Ảnh thao tác thật; checklist sao lưu; không khuyến khích crack.</x:v>
      </x:c>
      <x:c r="Y36" s="12" t="str">
        <x:v>LocalBusiness + Service + FAQ</x:v>
      </x:c>
      <x:c r="Z36" s="12" t="n">
        <x:v>1700</x:v>
      </x:c>
      <x:c r="AA36" s="12" t="n">
        <x:v>4</x:v>
      </x:c>
      <x:c r="AB36" s="12" t="n">
        <x:v>5</x:v>
      </x:c>
      <x:c r="AC36" s="12" t="n">
        <x:v>3</x:v>
      </x:c>
      <x:c r="AD36" s="12" t="str">
        <x:v>Thấp</x:v>
      </x:c>
      <x:c r="AE36" s="12" t="n">
        <x:f>ROUND(((AA36*0.45)+(AB36*0.40)+(MAX(1,6-AC36)*0.15))*20,0)</x:f>
        <x:v>85</x:v>
      </x:c>
      <x:c r="AF36" s="12" t="str">
        <x:v>Chưa viết</x:v>
      </x:c>
      <x:c r="AG36" s="12" t="str">
        <x:v>Sintech SEO</x:v>
      </x:c>
      <x:c r="AH36" s="14" t="n">
        <x:v>46257</x:v>
      </x:c>
      <x:c r="AI36" s="14" t="n">
        <x:v>46260</x:v>
      </x:c>
      <x:c r="AJ36" s="12" t="str">
        <x:v>Click / Impression / Vị trí / CTR theo URL sau 14-28 ngày</x:v>
      </x:c>
      <x:c r="AK36" s="12" t="str"/>
    </x:row>
    <x:row r="37">
      <x:c r="A37" s="12" t="str">
        <x:v>BLG-036</x:v>
      </x:c>
      <x:c r="B37" s="12" t="str">
        <x:v>GĐ6 - Kỹ thuật hỗ trợ</x:v>
      </x:c>
      <x:c r="C37" s="12" t="n">
        <x:v>11</x:v>
      </x:c>
      <x:c r="D37" s="14" t="n">
        <x:v>46262</x:v>
      </x:c>
      <x:c r="E37" s="12" t="str">
        <x:v>Kỹ thuật/Gaming hỗ trợ</x:v>
      </x:c>
      <x:c r="F37" s="12" t="str">
        <x:v>B</x:v>
      </x:c>
      <x:c r="G37" s="12" t="str">
        <x:v>Informational</x:v>
      </x:c>
      <x:c r="H37" s="12" t="str">
        <x:v>TOFU</x:v>
      </x:c>
      <x:c r="I37" s="12" t="str">
        <x:v>Máy Tính Bị Rò Điện Có Nguy Hiểm Không? Nguyên Nhân Và Cách Xử Lý</x:v>
      </x:c>
      <x:c r="J37" s="12" t="str">
        <x:v>Máy Tính Bị Rò Điện: Nguyên Nhân Và Cách Xử Lý</x:v>
      </x:c>
      <x:c r="K37" s="12" t="n">
        <x:f>LEN(J37)</x:f>
        <x:v>46</x:v>
      </x:c>
      <x:c r="L37" s="12" t="str">
        <x:v>Máy tính bị rò điện do nguồn, tiếp đất, ổ cắm hay case? Xem nguyên nhân, cách kiểm tra an toàn và khi nào cần kỹ thuật.</x:v>
      </x:c>
      <x:c r="M37" s="12" t="n">
        <x:f>LEN(L37)</x:f>
        <x:v>119</x:v>
      </x:c>
      <x:c r="N37" s="12" t="str">
        <x:v>máy tính bị rò điện</x:v>
      </x:c>
      <x:c r="O37" s="12" t="str">
        <x:v>pc bị rò điện, case pc rò điện, nguồn pc rò điện</x:v>
      </x:c>
      <x:c r="P37" s="12" t="str">
        <x:v>16M: có tín hiệu kỹ thuật lẻ liên quan sửa chữa.</x:v>
      </x:c>
      <x:c r="Q37" s="12" t="str">
        <x:v>3M: máy tính bị rò điện 1 click / 35 hiển thị / vị trí 4,4; pc bị rò điện 1 click / 67 hiển thị / vị trí 3,8</x:v>
      </x:c>
      <x:c r="R37" s="12" t="str">
        <x:v>Key nhỏ nhưng vị trí tốt; hỗ trợ dịch vụ sửa PC.</x:v>
      </x:c>
      <x:c r="S37" s="12" t="str">
        <x:v>/blogs/huong-dan/may-tinh-bi-ro-dien</x:v>
      </x:c>
      <x:c r="T37" s="12" t="str">
        <x:v>/pages/sua-may-tinh-quan-7</x:v>
      </x:c>
      <x:c r="U37" s="12" t="str">
        <x:v>sửa máy tính Quận 7; kiểm tra nguồn PC; PC bị rò điện</x:v>
      </x:c>
      <x:c r="V37" s="12" t="str">
        <x:v>Mang máy đến Sintech kiểm tra nguồn và hệ thống tiếp đất.</x:v>
      </x:c>
      <x:c r="W37" s="12" t="str">
        <x:v>H2 Có nguy hiểm không | H2 Nguyên nhân | H2 Cách kiểm tra an toàn | H2 Khi nào cần thay nguồn | H2 FAQ</x:v>
      </x:c>
      <x:c r="X37" s="12" t="str">
        <x:v>Cảnh báo an toàn điện; không hướng dẫn thao tác nguy hiểm.</x:v>
      </x:c>
      <x:c r="Y37" s="12" t="str">
        <x:v>Article + FAQ</x:v>
      </x:c>
      <x:c r="Z37" s="12" t="n">
        <x:v>1500</x:v>
      </x:c>
      <x:c r="AA37" s="12" t="n">
        <x:v>3</x:v>
      </x:c>
      <x:c r="AB37" s="12" t="n">
        <x:v>4</x:v>
      </x:c>
      <x:c r="AC37" s="12" t="n">
        <x:v>2</x:v>
      </x:c>
      <x:c r="AD37" s="12" t="str">
        <x:v>Trung bình - an toàn điện</x:v>
      </x:c>
      <x:c r="AE37" s="12" t="n">
        <x:f>ROUND(((AA37*0.45)+(AB37*0.40)+(MAX(1,6-AC37)*0.15))*20,0)</x:f>
        <x:v>71</x:v>
      </x:c>
      <x:c r="AF37" s="12" t="str">
        <x:v>Chưa viết</x:v>
      </x:c>
      <x:c r="AG37" s="12" t="str">
        <x:v>Sintech SEO</x:v>
      </x:c>
      <x:c r="AH37" s="14" t="n">
        <x:v>46259</x:v>
      </x:c>
      <x:c r="AI37" s="14" t="n">
        <x:v>46262</x:v>
      </x:c>
      <x:c r="AJ37" s="12" t="str">
        <x:v>Click / Impression / Vị trí / CTR theo URL sau 14-28 ngày</x:v>
      </x:c>
      <x:c r="AK37" s="12" t="str"/>
    </x:row>
    <x:row r="38">
      <x:c r="A38" s="12" t="str">
        <x:v>BLG-037</x:v>
      </x:c>
      <x:c r="B38" s="12" t="str">
        <x:v>GĐ6 - Kỹ thuật hỗ trợ</x:v>
      </x:c>
      <x:c r="C38" s="12" t="n">
        <x:v>11</x:v>
      </x:c>
      <x:c r="D38" s="14" t="n">
        <x:v>46264</x:v>
      </x:c>
      <x:c r="E38" s="12" t="str">
        <x:v>Kỹ thuật/Gaming hỗ trợ</x:v>
      </x:c>
      <x:c r="F38" s="12" t="str">
        <x:v>B</x:v>
      </x:c>
      <x:c r="G38" s="12" t="str">
        <x:v>Informational</x:v>
      </x:c>
      <x:c r="H38" s="12" t="str">
        <x:v>TOFU</x:v>
      </x:c>
      <x:c r="I38" s="12" t="str">
        <x:v>CS2 Là Gì? Cấu Hình Chơi Counter-Strike 2 Mượt Trên PC</x:v>
      </x:c>
      <x:c r="J38" s="12" t="str">
        <x:v>CS2 Là Gì? Cấu Hình Chơi Counter-Strike 2 Mượt</x:v>
      </x:c>
      <x:c r="K38" s="12" t="n">
        <x:f>LEN(J38)</x:f>
        <x:v>46</x:v>
      </x:c>
      <x:c r="L38" s="12" t="str">
        <x:v>CS2 là gì, cần cấu hình PC thế nào để chơi mượt? Gợi ý CPU, VGA, RAM, màn hình và tối ưu máy chơi Counter-Strike 2.</x:v>
      </x:c>
      <x:c r="M38" s="12" t="n">
        <x:f>LEN(L38)</x:f>
        <x:v>115</x:v>
      </x:c>
      <x:c r="N38" s="12" t="str">
        <x:v>cs2 là gì</x:v>
      </x:c>
      <x:c r="O38" s="12" t="str">
        <x:v>cs2, game cs2, cs2 là game gì, cấu hình cs2, pc chơi cs2</x:v>
      </x:c>
      <x:c r="P38" s="12" t="str">
        <x:v>16M: cs2 54 click / 8.011 hiển thị / CTR 0,7% / vị trí 6,3</x:v>
      </x:c>
      <x:c r="Q38" s="12" t="str">
        <x:v>3M: cs2 33 click / 4.529 hiển thị / CTR 0,7% / vị trí 6,3</x:v>
      </x:c>
      <x:c r="R38" s="12" t="str">
        <x:v>Hiển thị cao nhưng CTR thấp; chỉ làm nếu liên kết được Build PC gaming.</x:v>
      </x:c>
      <x:c r="S38" s="12" t="str">
        <x:v>/blogs/huong-dan/cs2-la-gi-cau-hinh-choi-cs2</x:v>
      </x:c>
      <x:c r="T38" s="12" t="str">
        <x:v>/pages/xay-dung-cau-hinh</x:v>
      </x:c>
      <x:c r="U38" s="12" t="str">
        <x:v>build PC chơi CS2; cấu hình chơi CS2; PC gaming</x:v>
      </x:c>
      <x:c r="V38" s="12" t="str">
        <x:v>Dùng tool Build PC để chọn cấu hình chơi CS2.</x:v>
      </x:c>
      <x:c r="W38" s="12" t="str">
        <x:v>H2 CS2 là gì | H2 Cấu hình tối thiểu/đề nghị | H2 Màn hình/tần số quét | H2 Gợi ý PC | H2 FAQ</x:v>
      </x:c>
      <x:c r="X38" s="12" t="str">
        <x:v>Cần cập nhật yêu cầu cấu hình mới nhất trước khi đăng.</x:v>
      </x:c>
      <x:c r="Y38" s="12" t="str">
        <x:v>Article + FAQ</x:v>
      </x:c>
      <x:c r="Z38" s="12" t="n">
        <x:v>1700</x:v>
      </x:c>
      <x:c r="AA38" s="12" t="n">
        <x:v>3</x:v>
      </x:c>
      <x:c r="AB38" s="12" t="n">
        <x:v>4</x:v>
      </x:c>
      <x:c r="AC38" s="12" t="n">
        <x:v>3</x:v>
      </x:c>
      <x:c r="AD38" s="12" t="str">
        <x:v>Thấp</x:v>
      </x:c>
      <x:c r="AE38" s="12" t="n">
        <x:f>ROUND(((AA38*0.45)+(AB38*0.40)+(MAX(1,6-AC38)*0.15))*20,0)</x:f>
        <x:v>68</x:v>
      </x:c>
      <x:c r="AF38" s="12" t="str">
        <x:v>Chưa viết</x:v>
      </x:c>
      <x:c r="AG38" s="12" t="str">
        <x:v>Sintech SEO</x:v>
      </x:c>
      <x:c r="AH38" s="14" t="n">
        <x:v>46261</x:v>
      </x:c>
      <x:c r="AI38" s="14" t="n">
        <x:v>46264</x:v>
      </x:c>
      <x:c r="AJ38" s="12" t="str">
        <x:v>Click / Impression / Vị trí / CTR theo URL sau 14-28 ngày</x:v>
      </x:c>
      <x:c r="AK38" s="12" t="str"/>
    </x:row>
    <x:row r="39">
      <x:c r="A39" s="12" t="str">
        <x:v>BLG-038</x:v>
      </x:c>
      <x:c r="B39" s="12" t="str">
        <x:v>GĐ6 - Kỹ thuật/Gaming hỗ trợ</x:v>
      </x:c>
      <x:c r="C39" s="12" t="n">
        <x:v>11</x:v>
      </x:c>
      <x:c r="D39" s="14" t="n">
        <x:v>46266</x:v>
      </x:c>
      <x:c r="E39" s="12" t="str">
        <x:v>Kỹ thuật/Gaming hỗ trợ</x:v>
      </x:c>
      <x:c r="F39" s="12" t="str">
        <x:v>B</x:v>
      </x:c>
      <x:c r="G39" s="12" t="str">
        <x:v>Informational</x:v>
      </x:c>
      <x:c r="H39" s="12" t="str">
        <x:v>TOFU</x:v>
      </x:c>
      <x:c r="I39" s="12" t="str">
        <x:v>Cấu Hình Chơi Palworld Trên PC: Tối Thiểu, Đề Nghị Và Gợi Ý Nâng Cấp</x:v>
      </x:c>
      <x:c r="J39" s="12" t="str">
        <x:v>Cấu Hình Chơi Palworld Trên PC Mượt, Gợi Ý Nâng Cấp</x:v>
      </x:c>
      <x:c r="K39" s="12" t="n">
        <x:f>LEN(J39)</x:f>
        <x:v>51</x:v>
      </x:c>
      <x:c r="L39" s="12" t="str">
        <x:v>Cấu hình chơi Palworld trên PC, laptop; gợi ý nâng cấp CPU, VGA, RAM, SSD để chơi mượt và link build PC phù hợp.</x:v>
      </x:c>
      <x:c r="M39" s="12" t="n">
        <x:f>LEN(L39)</x:f>
        <x:v>112</x:v>
      </x:c>
      <x:c r="N39" s="12" t="str">
        <x:v>palworld cấu hình</x:v>
      </x:c>
      <x:c r="O39" s="12" t="str">
        <x:v>cấu hình chơi palworld, pc chơi palworld, build pc chơi game</x:v>
      </x:c>
      <x:c r="P39" s="12" t="str">
        <x:v>16M: palworld cấu hình 25 click / 471 hiển thị / vị trí 3,1</x:v>
      </x:c>
      <x:c r="Q39" s="12" t="str">
        <x:v>3M: palworld cấu hình 1 click / 63 hiển thị / vị trí 3,2</x:v>
      </x:c>
      <x:c r="R39" s="12" t="str">
        <x:v>Dài hạn từng tốt; làm nếu muốn kéo gaming traffic về Build PC.</x:v>
      </x:c>
      <x:c r="S39" s="12" t="str">
        <x:v>/blogs/huong-dan/cau-hinh-choi-palworld</x:v>
      </x:c>
      <x:c r="T39" s="12" t="str">
        <x:v>/pages/xay-dung-cau-hinh</x:v>
      </x:c>
      <x:c r="U39" s="12" t="str">
        <x:v>cấu hình chơi Palworld; build PC chơi game; nâng cấp PC gaming</x:v>
      </x:c>
      <x:c r="V39" s="12" t="str">
        <x:v>Tự build PC chơi Palworld tại Sintech.</x:v>
      </x:c>
      <x:c r="W39" s="12" t="str">
        <x:v>H2 Yêu cầu cấu hình | H2 Nâng cấp gì trước | H2 Gợi ý cấu hình | H2 Tối ưu FPS | H2 FAQ</x:v>
      </x:c>
      <x:c r="X39" s="12" t="str">
        <x:v>Cần kiểm tra cấu hình chính thức trước khi đăng.</x:v>
      </x:c>
      <x:c r="Y39" s="12" t="str">
        <x:v>Article + FAQ</x:v>
      </x:c>
      <x:c r="Z39" s="12" t="n">
        <x:v>1500</x:v>
      </x:c>
      <x:c r="AA39" s="12" t="n">
        <x:v>3</x:v>
      </x:c>
      <x:c r="AB39" s="12" t="n">
        <x:v>4</x:v>
      </x:c>
      <x:c r="AC39" s="12" t="n">
        <x:v>3</x:v>
      </x:c>
      <x:c r="AD39" s="12" t="str">
        <x:v>Thấp</x:v>
      </x:c>
      <x:c r="AE39" s="12" t="n">
        <x:f>ROUND(((AA39*0.45)+(AB39*0.40)+(MAX(1,6-AC39)*0.15))*20,0)</x:f>
        <x:v>68</x:v>
      </x:c>
      <x:c r="AF39" s="12" t="str">
        <x:v>Chưa viết</x:v>
      </x:c>
      <x:c r="AG39" s="12" t="str">
        <x:v>Sintech SEO</x:v>
      </x:c>
      <x:c r="AH39" s="14" t="n">
        <x:v>46263</x:v>
      </x:c>
      <x:c r="AI39" s="14" t="n">
        <x:v>46266</x:v>
      </x:c>
      <x:c r="AJ39" s="12" t="str">
        <x:v>Click / Impression / Vị trí / CTR theo URL sau 14-28 ngày</x:v>
      </x:c>
      <x:c r="AK39" s="12" t="str"/>
    </x:row>
    <x:row r="40">
      <x:c r="A40" s="12" t="str">
        <x:v>BLG-039</x:v>
      </x:c>
      <x:c r="B40" s="12" t="str">
        <x:v>GĐ6 - Kỹ thuật/Gaming hỗ trợ</x:v>
      </x:c>
      <x:c r="C40" s="12" t="n">
        <x:v>12</x:v>
      </x:c>
      <x:c r="D40" s="14" t="n">
        <x:v>46269</x:v>
      </x:c>
      <x:c r="E40" s="12" t="str">
        <x:v>Kỹ thuật/Gaming hỗ trợ</x:v>
      </x:c>
      <x:c r="F40" s="12" t="str">
        <x:v>C</x:v>
      </x:c>
      <x:c r="G40" s="12" t="str">
        <x:v>Informational</x:v>
      </x:c>
      <x:c r="H40" s="12" t="str">
        <x:v>TOFU</x:v>
      </x:c>
      <x:c r="I40" s="12" t="str">
        <x:v>ZZZ Bao Nhiêu GB Trên PC? Cấu Hình Chơi Zenless Zone Zero Mượt</x:v>
      </x:c>
      <x:c r="J40" s="12" t="str">
        <x:v>ZZZ Bao Nhiêu GB? Cấu Hình Chơi Zenless Zone Zero PC</x:v>
      </x:c>
      <x:c r="K40" s="12" t="n">
        <x:f>LEN(J40)</x:f>
        <x:v>52</x:v>
      </x:c>
      <x:c r="L40" s="12" t="str">
        <x:v>ZZZ bao nhiêu GB trên PC, cần cấu hình ra sao để chơi mượt? Gợi ý nâng cấp RAM, SSD, VGA và build PC gaming phù hợp.</x:v>
      </x:c>
      <x:c r="M40" s="12" t="n">
        <x:f>LEN(L40)</x:f>
        <x:v>116</x:v>
      </x:c>
      <x:c r="N40" s="12" t="str">
        <x:v>zzz bao nhiêu gb pc</x:v>
      </x:c>
      <x:c r="O40" s="12" t="str">
        <x:v>cấu hình chơi zzz, dung lượng zzz, pc chơi zzz</x:v>
      </x:c>
      <x:c r="P40" s="12" t="str">
        <x:v>16M: cấu hình chơi zzz có tín hiệu nhỏ.</x:v>
      </x:c>
      <x:c r="Q40" s="12" t="str">
        <x:v>3M: zzz bao nhiêu gb pc 1 click / 31 hiển thị; cấu hình chơi zzz 1 click / 52 hiển thị / vị trí 4,2</x:v>
      </x:c>
      <x:c r="R40" s="12" t="str">
        <x:v>Cụm nhỏ, chỉ làm sau khi xong ưu tiên chính.</x:v>
      </x:c>
      <x:c r="S40" s="12" t="str">
        <x:v>/blogs/huong-dan/zzz-bao-nhieu-gb-cau-hinh-pc</x:v>
      </x:c>
      <x:c r="T40" s="12" t="str">
        <x:v>/pages/xay-dung-cau-hinh</x:v>
      </x:c>
      <x:c r="U40" s="12" t="str">
        <x:v>cấu hình chơi ZZZ; build PC gaming; nâng cấp SSD</x:v>
      </x:c>
      <x:c r="V40" s="12" t="str">
        <x:v>Chọn cấu hình chơi ZZZ bằng tool Build PC Sintech.</x:v>
      </x:c>
      <x:c r="W40" s="12" t="str">
        <x:v>H2 Dung lượng | H2 Cấu hình | H2 Nâng cấp cần thiết | H2 Gợi ý PC | H2 FAQ</x:v>
      </x:c>
      <x:c r="X40" s="12" t="str">
        <x:v>Cập nhật cấu hình mới trước khi đăng.</x:v>
      </x:c>
      <x:c r="Y40" s="12" t="str">
        <x:v>Article + FAQ</x:v>
      </x:c>
      <x:c r="Z40" s="12" t="n">
        <x:v>1300</x:v>
      </x:c>
      <x:c r="AA40" s="12" t="n">
        <x:v>2</x:v>
      </x:c>
      <x:c r="AB40" s="12" t="n">
        <x:v>3</x:v>
      </x:c>
      <x:c r="AC40" s="12" t="n">
        <x:v>2</x:v>
      </x:c>
      <x:c r="AD40" s="12" t="str">
        <x:v>Thấp</x:v>
      </x:c>
      <x:c r="AE40" s="12" t="n">
        <x:f>ROUND(((AA40*0.45)+(AB40*0.40)+(MAX(1,6-AC40)*0.15))*20,0)</x:f>
        <x:v>54</x:v>
      </x:c>
      <x:c r="AF40" s="12" t="str">
        <x:v>Chưa viết</x:v>
      </x:c>
      <x:c r="AG40" s="12" t="str">
        <x:v>Sintech SEO</x:v>
      </x:c>
      <x:c r="AH40" s="14" t="n">
        <x:v>46266</x:v>
      </x:c>
      <x:c r="AI40" s="14" t="n">
        <x:v>46269</x:v>
      </x:c>
      <x:c r="AJ40" s="12" t="str">
        <x:v>Click / Impression / Vị trí / CTR theo URL sau 14-28 ngày</x:v>
      </x:c>
      <x:c r="AK40" s="12" t="str"/>
    </x:row>
    <x:row r="41">
      <x:c r="A41" s="12" t="str">
        <x:v>BLG-040</x:v>
      </x:c>
      <x:c r="B41" s="12" t="str">
        <x:v>GĐ6 - Thu mua/Local</x:v>
      </x:c>
      <x:c r="C41" s="12" t="n">
        <x:v>12</x:v>
      </x:c>
      <x:c r="D41" s="14" t="n">
        <x:v>46271</x:v>
      </x:c>
      <x:c r="E41" s="12" t="str">
        <x:v>Dịch vụ Quận 7</x:v>
      </x:c>
      <x:c r="F41" s="12" t="str">
        <x:v>B</x:v>
      </x:c>
      <x:c r="G41" s="12" t="str">
        <x:v>Local Commercial</x:v>
      </x:c>
      <x:c r="H41" s="12" t="str">
        <x:v>BOFU</x:v>
      </x:c>
      <x:c r="I41" s="12" t="str">
        <x:v>Thu Mua PC Cũ TPHCM: Quy Trình Kiểm Tra, Định Giá Và Nâng Cấp Lại Máy</x:v>
      </x:c>
      <x:c r="J41" s="12" t="str">
        <x:v>Thu Mua PC Cũ TPHCM: Kiểm Tra, Định Giá Nhanh</x:v>
      </x:c>
      <x:c r="K41" s="12" t="n">
        <x:f>LEN(J41)</x:f>
        <x:v>45</x:v>
      </x:c>
      <x:c r="L41" s="12" t="str">
        <x:v>Sintech thu mua PC cũ tại TPHCM, kiểm tra linh kiện, định giá minh bạch và tư vấn nâng cấp hoặc build máy mới khi cần.</x:v>
      </x:c>
      <x:c r="M41" s="12" t="n">
        <x:f>LEN(L41)</x:f>
        <x:v>118</x:v>
      </x:c>
      <x:c r="N41" s="12" t="str">
        <x:v>thu mua pc cũ</x:v>
      </x:c>
      <x:c r="O41" s="12" t="str">
        <x:v>thu mua pc, thu mua pc cũ tphcm, thu pc cũ, bán pc cũ, pc quận 7</x:v>
      </x:c>
      <x:c r="P41" s="12" t="str">
        <x:v>16M: thu mua pc cũ 25 click / 3.144 hiển thị / vị trí 11,3; thu mua pc cũ tphcm 21 click / 1.732 hiển thị.</x:v>
      </x:c>
      <x:c r="Q41" s="12" t="str">
        <x:v>3M: thu mua pc cũ 3 click / 463 hiển thị / vị trí 12; thu mua pc 4 click / 136 hiển thị / vị trí 12,3</x:v>
      </x:c>
      <x:c r="R41" s="12" t="str">
        <x:v>Có BOFU local nhưng cần trang dịch vụ rõ.</x:v>
      </x:c>
      <x:c r="S41" s="12" t="str">
        <x:v>/blogs/dich-vu/thu-mua-pc-cu-tphcm</x:v>
      </x:c>
      <x:c r="T41" s="12" t="str">
        <x:v>/pages/thu-mua-pc-cu</x:v>
      </x:c>
      <x:c r="U41" s="12" t="str">
        <x:v>thu mua PC cũ TPHCM; bán PC cũ; nâng cấp PC</x:v>
      </x:c>
      <x:c r="V41" s="12" t="str">
        <x:v>Gửi cấu hình/ảnh máy để Sintech báo giá thu mua.</x:v>
      </x:c>
      <x:c r="W41" s="12" t="str">
        <x:v>H2 Nhận thu mua loại PC nào | H2 Quy trình test | H2 Yếu tố định giá | H2 Nâng cấp thay vì bán? | H2 FAQ</x:v>
      </x:c>
      <x:c r="X41" s="12" t="str">
        <x:v>Ảnh quy trình test; form/Zalo; bảng giá tham khảo.</x:v>
      </x:c>
      <x:c r="Y41" s="12" t="str">
        <x:v>LocalBusiness + FAQ</x:v>
      </x:c>
      <x:c r="Z41" s="12" t="n">
        <x:v>1700</x:v>
      </x:c>
      <x:c r="AA41" s="12" t="n">
        <x:v>4</x:v>
      </x:c>
      <x:c r="AB41" s="12" t="n">
        <x:v>5</x:v>
      </x:c>
      <x:c r="AC41" s="12" t="n">
        <x:v>3</x:v>
      </x:c>
      <x:c r="AD41" s="12" t="str">
        <x:v>Thấp</x:v>
      </x:c>
      <x:c r="AE41" s="12" t="n">
        <x:f>ROUND(((AA41*0.45)+(AB41*0.40)+(MAX(1,6-AC41)*0.15))*20,0)</x:f>
        <x:v>85</x:v>
      </x:c>
      <x:c r="AF41" s="12" t="str">
        <x:v>Chưa viết</x:v>
      </x:c>
      <x:c r="AG41" s="12" t="str">
        <x:v>Sintech SEO</x:v>
      </x:c>
      <x:c r="AH41" s="14" t="n">
        <x:v>46268</x:v>
      </x:c>
      <x:c r="AI41" s="14" t="n">
        <x:v>46271</x:v>
      </x:c>
      <x:c r="AJ41" s="12" t="str">
        <x:v>Click / Impression / Vị trí / CTR theo URL sau 14-28 ngày</x:v>
      </x:c>
      <x:c r="AK41" s="12" t="str"/>
    </x:row>
  </x:sheetData>
  <x:conditionalFormatting sqref="F2:F41">
    <x:cfRule type="expression" dxfId="0" priority="1">
      <x:formula>$F2="A1"</x:formula>
    </x:cfRule>
    <x:cfRule type="expression" dxfId="1" priority="2">
      <x:formula>$F2="A2"</x:formula>
    </x:cfRule>
    <x:cfRule type="expression" dxfId="2" priority="3">
      <x:formula>$F2="B"</x:formula>
    </x:cfRule>
  </x:conditionalFormatting>
  <x:conditionalFormatting sqref="AE2:AE41">
    <x:cfRule type="dataBar" priority="4">
      <x:dataBar>
        <x:cfvo type="min"/>
        <x:cfvo type="max"/>
        <x:color rgb="FF9E1B1B"/>
      </x:dataBar>
      <x:extLst>
        <x:ext xmlns:x14="http://schemas.microsoft.com/office/spreadsheetml/2009/9/main" uri="{B025F937-C7B1-47D3-B67F-A62EFF666E3E}">
          <x14:id>{C5BA931E-B37E-6E57-45BB-3CC219D1218B}</x14:id>
        </x:ext>
      </x:extLst>
    </x:cfRule>
  </x:conditionalFormatting>
  <x:conditionalFormatting sqref="K2:K41">
    <x:cfRule type="cellIs" dxfId="3" priority="5" operator="greaterThan">
      <x:formula>70</x:formula>
    </x:cfRule>
  </x:conditionalFormatting>
  <x:conditionalFormatting sqref="M2:M41">
    <x:cfRule type="cellIs" dxfId="4" priority="6" operator="greaterThan">
      <x:formula>320</x:formula>
    </x:cfRule>
  </x:conditionalFormatting>
  <x:dataValidations count="3">
    <x:dataValidation type="list" sqref="F2:F41">
      <x:formula1>"A1,A2,B,C"</x:formula1>
    </x:dataValidation>
    <x:dataValidation type="list" sqref="AF2:AF41">
      <x:formula1>"Chưa viết,Đang viết,Đang review,Đã đăng,Cần refresh,Tạm hoãn"</x:formula1>
    </x:dataValidation>
    <x:dataValidation type="list" sqref="E2:E41">
      <x:formula1>"Build PC,Linh kiện cũ,Phần mềm bản quyền,Dịch vụ Quận 7,Kỹ thuật/Gaming hỗ trợ"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9601e241024b3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C5BA931E-B37E-6E57-45BB-3CC219D1218B}">
            <x14:dataBar gradient="1">
              <x14:cfvo type="min"/>
              <x14:cfvo type="max"/>
              <x14:fillColor rgb="FF9E1B1B"/>
            </x14:dataBar>
          </x14:cfRule>
          <xm:sqref>AE2:AE41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24" hidden="0" customWidth="1"/>
    <x:col min="4" max="4" width="38" hidden="0" customWidth="1"/>
  </x:cols>
  <x:sheetData>
    <x:row r="1">
      <x:c r="A1" s="6" t="str">
        <x:v>Mục</x:v>
      </x:c>
      <x:c r="B1" s="6" t="str">
        <x:v>Chuẩn triển khai</x:v>
      </x:c>
      <x:c r="C1" s="6" t="str">
        <x:v>Áp dụng cho</x:v>
      </x:c>
      <x:c r="D1" s="6" t="str">
        <x:v>Ghi chú kiểm duyệt</x:v>
      </x:c>
    </x:row>
    <x:row r="2">
      <x:c r="A2" s="12" t="str">
        <x:v>Title SEO</x:v>
      </x:c>
      <x:c r="B2" s="12" t="str">
        <x:v>≤70 ký tự, có keyword chính gần đầu, không đổi liên tục với trang đang top.</x:v>
      </x:c>
      <x:c r="C2" s="12" t="str">
        <x:v>Tất cả bài</x:v>
      </x:c>
      <x:c r="D2" s="12" t="str">
        <x:v>Cột Title Len trong Roadmap tự đo.</x:v>
      </x:c>
    </x:row>
    <x:row r="3">
      <x:c r="A3" s="12" t="str">
        <x:v>Meta description</x:v>
      </x:c>
      <x:c r="B3" s="12" t="str">
        <x:v>≤320 ký tự, nêu lợi ích rõ và có CTA mềm.</x:v>
      </x:c>
      <x:c r="C3" s="12" t="str">
        <x:v>Tất cả bài</x:v>
      </x:c>
      <x:c r="D3" s="12" t="str">
        <x:v>Cột Meta Len tự đo.</x:v>
      </x:c>
    </x:row>
    <x:row r="4">
      <x:c r="A4" s="12" t="str">
        <x:v>H1</x:v>
      </x:c>
      <x:c r="B4" s="12" t="str">
        <x:v>Chỉ 1 H1, chứa keyword chính, ngắn hơn title nếu cần.</x:v>
      </x:c>
      <x:c r="C4" s="12" t="str">
        <x:v>Tất cả bài</x:v>
      </x:c>
      <x:c r="D4" s="12" t="str">
        <x:v>Không nhồi quá nhiều biến thể.</x:v>
      </x:c>
    </x:row>
    <x:row r="5">
      <x:c r="A5" s="12" t="str">
        <x:v>Mở bài</x:v>
      </x:c>
      <x:c r="B5" s="12" t="str">
        <x:v>120-180 chữ: nêu đúng vấn đề, nhắc Sintech có giải pháp/sản phẩm/dịch vụ.</x:v>
      </x:c>
      <x:c r="C5" s="12" t="str">
        <x:v>Tất cả bài</x:v>
      </x:c>
      <x:c r="D5" s="12" t="str">
        <x:v>Tránh mở bài chung chung.</x:v>
      </x:c>
    </x:row>
    <x:row r="6">
      <x:c r="A6" s="12" t="str">
        <x:v>Outline</x:v>
      </x:c>
      <x:c r="B6" s="12" t="str">
        <x:v>Có ít nhất 5 H2; mỗi H2 giải quyết một intent; thêm FAQ 4-6 câu.</x:v>
      </x:c>
      <x:c r="C6" s="12" t="str">
        <x:v>Tất cả bài</x:v>
      </x:c>
      <x:c r="D6" s="12" t="str">
        <x:v>Dùng outline trong Roadmap làm khung.</x:v>
      </x:c>
    </x:row>
    <x:row r="7">
      <x:c r="A7" s="12" t="str">
        <x:v>Internal link</x:v>
      </x:c>
      <x:c r="B7" s="12" t="str">
        <x:v>2 link về target chính trong 600 chữ đầu + cuối bài; anchor xoay vòng tự nhiên.</x:v>
      </x:c>
      <x:c r="C7" s="12" t="str">
        <x:v>Build PC/Linh kiện/Local</x:v>
      </x:c>
      <x:c r="D7" s="12" t="str">
        <x:v>Không dùng anchor giống nhau 100%.</x:v>
      </x:c>
    </x:row>
    <x:row r="8">
      <x:c r="A8" s="12" t="str">
        <x:v>CTA</x:v>
      </x:c>
      <x:c r="B8" s="12" t="str">
        <x:v>CTA theo intent: dùng tool, xem collection, liên hệ Zalo, đặt lịch dịch vụ.</x:v>
      </x:c>
      <x:c r="C8" s="12" t="str">
        <x:v>Tất cả bài</x:v>
      </x:c>
      <x:c r="D8" s="12" t="str">
        <x:v>Không CTA quá gắt ở bài TOFU.</x:v>
      </x:c>
    </x:row>
    <x:row r="9">
      <x:c r="A9" s="12" t="str">
        <x:v>Ảnh minh họa</x:v>
      </x:c>
      <x:c r="B9" s="12" t="str">
        <x:v>Tối thiểu 3 ảnh riêng: hero 1200x675, ảnh quy trình/checklist, ảnh sản phẩm/dịch vụ thật.</x:v>
      </x:c>
      <x:c r="C9" s="12" t="str">
        <x:v>Bài ưu tiên A1/A2</x:v>
      </x:c>
      <x:c r="D9" s="12" t="str">
        <x:v>Tên file ảnh nên chứa keyword không dấu.</x:v>
      </x:c>
    </x:row>
    <x:row r="10">
      <x:c r="A10" s="12" t="str">
        <x:v>Schema</x:v>
      </x:c>
      <x:c r="B10" s="12" t="str">
        <x:v>Article + FAQPage mặc định; Service/LocalBusiness cho dịch vụ; HowTo cho hướng dẫn.</x:v>
      </x:c>
      <x:c r="C10" s="12" t="str">
        <x:v>Theo từng bài</x:v>
      </x:c>
      <x:c r="D10" s="12" t="str">
        <x:v>Kiểm tra không lỗi bằng Rich Results Test.</x:v>
      </x:c>
    </x:row>
    <x:row r="11">
      <x:c r="A11" s="12" t="str">
        <x:v>EEAT</x:v>
      </x:c>
      <x:c r="B11" s="12" t="str">
        <x:v>Thêm kinh nghiệm kỹ thuật Sintech, ảnh thật, checklist test, chính sách bảo hành.</x:v>
      </x:c>
      <x:c r="C11" s="12" t="str">
        <x:v>Linh kiện cũ/Dịch vụ</x:v>
      </x:c>
      <x:c r="D11" s="12" t="str">
        <x:v>Rất quan trọng để bán hàng.</x:v>
      </x:c>
    </x:row>
    <x:row r="12">
      <x:c r="A12" s="12" t="str">
        <x:v>Bài phần mềm crack</x:v>
      </x:c>
      <x:c r="B12" s="12" t="str">
        <x:v>Chỉ phân tích rủi ro và giải pháp bản quyền; không hướng dẫn crack/active, không link tải, không seed từ khóa lậu quá đà.</x:v>
      </x:c>
      <x:c r="C12" s="12" t="str">
        <x:v>Phần mềm bản quyền</x:v>
      </x:c>
      <x:c r="D12" s="12" t="str">
        <x:v>Bắt buộc review trước khi đăng.</x:v>
      </x:c>
    </x:row>
    <x:row r="13">
      <x:c r="A13" s="12" t="str">
        <x:v>Build PC hub</x:v>
      </x:c>
      <x:c r="B13" s="12" t="str">
        <x:v>Mọi bài Build PC phải link về /pages/xay-dung-cau-hinh và 1 bài ngân sách liên quan.</x:v>
      </x:c>
      <x:c r="C13" s="12" t="str">
        <x:v>Build PC</x:v>
      </x:c>
      <x:c r="D13" s="12" t="str">
        <x:v>Mục tiêu đẩy key build pc rộng.</x:v>
      </x:c>
    </x:row>
    <x:row r="14">
      <x:c r="A14" s="12" t="str">
        <x:v>Linh kiện cũ</x:v>
      </x:c>
      <x:c r="B14" s="12" t="str">
        <x:v>Bắt buộc có checklist test, bảo hành, link collection và đề xuất sản phẩm đang có.</x:v>
      </x:c>
      <x:c r="C14" s="12" t="str">
        <x:v>SSD/VGA/CPU cũ</x:v>
      </x:c>
      <x:c r="D14" s="12" t="str">
        <x:v>Nên có ảnh/test thật.</x:v>
      </x:c>
    </x:row>
    <x:row r="15">
      <x:c r="A15" s="12" t="str">
        <x:v>Local SEO</x:v>
      </x:c>
      <x:c r="B15" s="12" t="str">
        <x:v>Có địa chỉ, khu vực phục vụ, bảng giá tham khảo, quy trình, ảnh thật, FAQ địa phương.</x:v>
      </x:c>
      <x:c r="C15" s="12" t="str">
        <x:v>Dịch vụ Quận 7</x:v>
      </x:c>
      <x:c r="D15" s="12" t="str">
        <x:v>Tối ưu Google Business Profile song song.</x:v>
      </x:c>
    </x:row>
    <x:row r="16">
      <x:c r="A16" s="12" t="str">
        <x:v>Refresh sau đăng</x:v>
      </x:c>
      <x:c r="B16" s="12" t="str">
        <x:v>Sau 14-28 ngày xem GSC; nếu impression cao CTR thấp thì sửa title/meta; nếu pos 8-15 thì thêm internal link.</x:v>
      </x:c>
      <x:c r="C16" s="12" t="str">
        <x:v>Tất cả bài</x:v>
      </x:c>
      <x:c r="D16" s="12" t="str">
        <x:v>Theo dõi trong KPI Tracking.</x:v>
      </x:c>
    </x:row>
  </x:sheetData>
  <x:pageMargins left="0.7" right="0.7" top="0.75" bottom="0.75" header="0.3" footer="0.3"/>
  <x:tableParts count="1">
    <x:tablePart xmlns:r="http://schemas.openxmlformats.org/officeDocument/2006/relationships" r:id="R058a2b09666d40e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26" hidden="0" customWidth="1"/>
    <x:col min="4" max="4" width="32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</x:cols>
  <x:sheetData>
    <x:row r="1">
      <x:c r="A1" s="6" t="str">
        <x:v>Source ID</x:v>
      </x:c>
      <x:c r="B1" s="6" t="str">
        <x:v>Source bài</x:v>
      </x:c>
      <x:c r="C1" s="6" t="str">
        <x:v>Placement</x:v>
      </x:c>
      <x:c r="D1" s="6" t="str">
        <x:v>Anchor đề xuất</x:v>
      </x:c>
      <x:c r="E1" s="6" t="str">
        <x:v>Target URL</x:v>
      </x:c>
      <x:c r="F1" s="6" t="str">
        <x:v>Mục đích</x:v>
      </x:c>
      <x:c r="G1" s="6" t="str">
        <x:v>Ưu tiên</x:v>
      </x:c>
      <x:c r="H1" s="6" t="str">
        <x:v>Ghi chú</x:v>
      </x:c>
    </x:row>
    <x:row r="2">
      <x:c r="A2" s="12" t="str">
        <x:v>BLG-001</x:v>
      </x:c>
      <x:c r="B2" s="12" t="str">
        <x:v>Build PC Online Là Gì? Cách Tự Xây Dựng Cấu Hình PC Tại Sintech</x:v>
      </x:c>
      <x:c r="C2" s="12" t="str">
        <x:v>Đoạn mở bài hoặc sau H2 đầu</x:v>
      </x:c>
      <x:c r="D2" s="12" t="str">
        <x:v>build PC online tại Sintech</x:v>
      </x:c>
      <x:c r="E2" s="12" t="str">
        <x:v>/pages/xay-dung-cau-hinh</x:v>
      </x:c>
      <x:c r="F2" s="12" t="str">
        <x:v>Đẩy target chính</x:v>
      </x:c>
      <x:c r="G2" s="12" t="str">
        <x:v>A1</x:v>
      </x:c>
      <x:c r="H2" s="12" t="str">
        <x:v>Không spam anchor; đặt tự nhiên trong câu.</x:v>
      </x:c>
    </x:row>
    <x:row r="3">
      <x:c r="A3" s="12" t="str">
        <x:v>BLG-001</x:v>
      </x:c>
      <x:c r="B3" s="12" t="str">
        <x:v>Build PC Online Là Gì? Cách Tự Xây Dựng Cấu Hình PC Tại Sintech</x:v>
      </x:c>
      <x:c r="C3" s="12" t="str">
        <x:v>Giữa bài hoặc CTA cuối</x:v>
      </x:c>
      <x:c r="D3" s="12" t="str">
        <x:v>cấu hình PC theo ngân sách</x:v>
      </x:c>
      <x:c r="E3" s="12" t="str">
        <x:v>/blogs/huong-dan/build-pc-gaming-theo-ngan-sach</x:v>
      </x:c>
      <x:c r="F3" s="12" t="str">
        <x:v>Tạo mạng liên kết nội bộ hỗ trợ topical authority</x:v>
      </x:c>
      <x:c r="G3" s="12" t="str">
        <x:v>A1</x:v>
      </x:c>
      <x:c r="H3" s="12" t="str">
        <x:v>Dùng anchor phụ để tránh trùng lặp.</x:v>
      </x:c>
    </x:row>
    <x:row r="4">
      <x:c r="A4" s="12" t="str">
        <x:v>BLG-002</x:v>
      </x:c>
      <x:c r="B4" s="12" t="str">
        <x:v>Hướng Dẫn Xây Dựng Cấu Hình PC Theo Nhu Cầu Từ A-Z</x:v>
      </x:c>
      <x:c r="C4" s="12" t="str">
        <x:v>Đoạn mở bài hoặc sau H2 đầu</x:v>
      </x:c>
      <x:c r="D4" s="12" t="str">
        <x:v>xây dựng cấu hình PC</x:v>
      </x:c>
      <x:c r="E4" s="12" t="str">
        <x:v>/pages/xay-dung-cau-hinh</x:v>
      </x:c>
      <x:c r="F4" s="12" t="str">
        <x:v>Đẩy target chính</x:v>
      </x:c>
      <x:c r="G4" s="12" t="str">
        <x:v>A1</x:v>
      </x:c>
      <x:c r="H4" s="12" t="str">
        <x:v>Không spam anchor; đặt tự nhiên trong câu.</x:v>
      </x:c>
    </x:row>
    <x:row r="5">
      <x:c r="A5" s="12" t="str">
        <x:v>BLG-002</x:v>
      </x:c>
      <x:c r="B5" s="12" t="str">
        <x:v>Hướng Dẫn Xây Dựng Cấu Hình PC Theo Nhu Cầu Từ A-Z</x:v>
      </x:c>
      <x:c r="C5" s="12" t="str">
        <x:v>Giữa bài hoặc CTA cuối</x:v>
      </x:c>
      <x:c r="D5" s="12" t="str">
        <x:v>cấu hình PC theo ngân sách</x:v>
      </x:c>
      <x:c r="E5" s="12" t="str">
        <x:v>/blogs/huong-dan/build-pc-gaming-theo-ngan-sach</x:v>
      </x:c>
      <x:c r="F5" s="12" t="str">
        <x:v>Tạo mạng liên kết nội bộ hỗ trợ topical authority</x:v>
      </x:c>
      <x:c r="G5" s="12" t="str">
        <x:v>A1</x:v>
      </x:c>
      <x:c r="H5" s="12" t="str">
        <x:v>Dùng anchor phụ để tránh trùng lặp.</x:v>
      </x:c>
    </x:row>
    <x:row r="6">
      <x:c r="A6" s="12" t="str">
        <x:v>BLG-003</x:v>
      </x:c>
      <x:c r="B6" s="12" t="str">
        <x:v>Tự Build PC Cần Lưu Ý Gì? 10 Lỗi Người Mới Thường Gặp</x:v>
      </x:c>
      <x:c r="C6" s="12" t="str">
        <x:v>Đoạn mở bài hoặc sau H2 đầu</x:v>
      </x:c>
      <x:c r="D6" s="12" t="str">
        <x:v>tự build PC</x:v>
      </x:c>
      <x:c r="E6" s="12" t="str">
        <x:v>/pages/xay-dung-cau-hinh</x:v>
      </x:c>
      <x:c r="F6" s="12" t="str">
        <x:v>Đẩy target chính</x:v>
      </x:c>
      <x:c r="G6" s="12" t="str">
        <x:v>A1</x:v>
      </x:c>
      <x:c r="H6" s="12" t="str">
        <x:v>Không spam anchor; đặt tự nhiên trong câu.</x:v>
      </x:c>
    </x:row>
    <x:row r="7">
      <x:c r="A7" s="12" t="str">
        <x:v>BLG-003</x:v>
      </x:c>
      <x:c r="B7" s="12" t="str">
        <x:v>Tự Build PC Cần Lưu Ý Gì? 10 Lỗi Người Mới Thường Gặp</x:v>
      </x:c>
      <x:c r="C7" s="12" t="str">
        <x:v>Giữa bài hoặc CTA cuối</x:v>
      </x:c>
      <x:c r="D7" s="12" t="str">
        <x:v>cấu hình PC theo ngân sách</x:v>
      </x:c>
      <x:c r="E7" s="12" t="str">
        <x:v>/blogs/huong-dan/build-pc-gaming-theo-ngan-sach</x:v>
      </x:c>
      <x:c r="F7" s="12" t="str">
        <x:v>Tạo mạng liên kết nội bộ hỗ trợ topical authority</x:v>
      </x:c>
      <x:c r="G7" s="12" t="str">
        <x:v>A1</x:v>
      </x:c>
      <x:c r="H7" s="12" t="str">
        <x:v>Dùng anchor phụ để tránh trùng lặp.</x:v>
      </x:c>
    </x:row>
    <x:row r="8">
      <x:c r="A8" s="12" t="str">
        <x:v>BLG-004</x:v>
      </x:c>
      <x:c r="B8" s="12" t="str">
        <x:v>Build PC Gaming Theo Ngân Sách: 15, 20, 30, 40 Triệu Nên Chọn Gì?</x:v>
      </x:c>
      <x:c r="C8" s="12" t="str">
        <x:v>Đoạn mở bài hoặc sau H2 đầu</x:v>
      </x:c>
      <x:c r="D8" s="12" t="str">
        <x:v>build PC gaming theo ngân sách</x:v>
      </x:c>
      <x:c r="E8" s="12" t="str">
        <x:v>/pages/xay-dung-cau-hinh</x:v>
      </x:c>
      <x:c r="F8" s="12" t="str">
        <x:v>Đẩy target chính</x:v>
      </x:c>
      <x:c r="G8" s="12" t="str">
        <x:v>A1</x:v>
      </x:c>
      <x:c r="H8" s="12" t="str">
        <x:v>Không spam anchor; đặt tự nhiên trong câu.</x:v>
      </x:c>
    </x:row>
    <x:row r="9">
      <x:c r="A9" s="12" t="str">
        <x:v>BLG-004</x:v>
      </x:c>
      <x:c r="B9" s="12" t="str">
        <x:v>Build PC Gaming Theo Ngân Sách: 15, 20, 30, 40 Triệu Nên Chọn Gì?</x:v>
      </x:c>
      <x:c r="C9" s="12" t="str">
        <x:v>Giữa bài hoặc CTA cuối</x:v>
      </x:c>
      <x:c r="D9" s="12" t="str">
        <x:v>Build PC online</x:v>
      </x:c>
      <x:c r="E9" s="12" t="str">
        <x:v>/blogs/huong-dan/build-pc-online-la-gi</x:v>
      </x:c>
      <x:c r="F9" s="12" t="str">
        <x:v>Tạo mạng liên kết nội bộ hỗ trợ topical authority</x:v>
      </x:c>
      <x:c r="G9" s="12" t="str">
        <x:v>A1</x:v>
      </x:c>
      <x:c r="H9" s="12" t="str">
        <x:v>Dùng anchor phụ để tránh trùng lặp.</x:v>
      </x:c>
    </x:row>
    <x:row r="10">
      <x:c r="A10" s="12" t="str">
        <x:v>BLG-005</x:v>
      </x:c>
      <x:c r="B10" s="12" t="str">
        <x:v>Build PC 15 Triệu Chơi Game Mượt: Cấu Hình Tối Ưu Cho Học Sinh, Sinh Viên</x:v>
      </x:c>
      <x:c r="C10" s="12" t="str">
        <x:v>Đoạn mở bài hoặc sau H2 đầu</x:v>
      </x:c>
      <x:c r="D10" s="12" t="str">
        <x:v>build PC 15 triệu</x:v>
      </x:c>
      <x:c r="E10" s="12" t="str">
        <x:v>/pages/xay-dung-cau-hinh</x:v>
      </x:c>
      <x:c r="F10" s="12" t="str">
        <x:v>Đẩy target chính</x:v>
      </x:c>
      <x:c r="G10" s="12" t="str">
        <x:v>A2</x:v>
      </x:c>
      <x:c r="H10" s="12" t="str">
        <x:v>Không spam anchor; đặt tự nhiên trong câu.</x:v>
      </x:c>
    </x:row>
    <x:row r="11">
      <x:c r="A11" s="12" t="str">
        <x:v>BLG-005</x:v>
      </x:c>
      <x:c r="B11" s="12" t="str">
        <x:v>Build PC 15 Triệu Chơi Game Mượt: Cấu Hình Tối Ưu Cho Học Sinh, Sinh Viên</x:v>
      </x:c>
      <x:c r="C11" s="12" t="str">
        <x:v>Giữa bài hoặc CTA cuối</x:v>
      </x:c>
      <x:c r="D11" s="12" t="str">
        <x:v>cấu hình PC theo ngân sách</x:v>
      </x:c>
      <x:c r="E11" s="12" t="str">
        <x:v>/blogs/huong-dan/build-pc-gaming-theo-ngan-sach</x:v>
      </x:c>
      <x:c r="F11" s="12" t="str">
        <x:v>Tạo mạng liên kết nội bộ hỗ trợ topical authority</x:v>
      </x:c>
      <x:c r="G11" s="12" t="str">
        <x:v>A2</x:v>
      </x:c>
      <x:c r="H11" s="12" t="str">
        <x:v>Dùng anchor phụ để tránh trùng lặp.</x:v>
      </x:c>
    </x:row>
    <x:row r="12">
      <x:c r="A12" s="12" t="str">
        <x:v>BLG-006</x:v>
      </x:c>
      <x:c r="B12" s="12" t="str">
        <x:v>Build PC 20 Triệu: Cấu Hình Gaming Full HD, 2K Đáng Mua</x:v>
      </x:c>
      <x:c r="C12" s="12" t="str">
        <x:v>Đoạn mở bài hoặc sau H2 đầu</x:v>
      </x:c>
      <x:c r="D12" s="12" t="str">
        <x:v>build PC 20 triệu</x:v>
      </x:c>
      <x:c r="E12" s="12" t="str">
        <x:v>/pages/xay-dung-cau-hinh</x:v>
      </x:c>
      <x:c r="F12" s="12" t="str">
        <x:v>Đẩy target chính</x:v>
      </x:c>
      <x:c r="G12" s="12" t="str">
        <x:v>A2</x:v>
      </x:c>
      <x:c r="H12" s="12" t="str">
        <x:v>Không spam anchor; đặt tự nhiên trong câu.</x:v>
      </x:c>
    </x:row>
    <x:row r="13">
      <x:c r="A13" s="12" t="str">
        <x:v>BLG-006</x:v>
      </x:c>
      <x:c r="B13" s="12" t="str">
        <x:v>Build PC 20 Triệu: Cấu Hình Gaming Full HD, 2K Đáng Mua</x:v>
      </x:c>
      <x:c r="C13" s="12" t="str">
        <x:v>Giữa bài hoặc CTA cuối</x:v>
      </x:c>
      <x:c r="D13" s="12" t="str">
        <x:v>cấu hình PC theo ngân sách</x:v>
      </x:c>
      <x:c r="E13" s="12" t="str">
        <x:v>/blogs/huong-dan/build-pc-gaming-theo-ngan-sach</x:v>
      </x:c>
      <x:c r="F13" s="12" t="str">
        <x:v>Tạo mạng liên kết nội bộ hỗ trợ topical authority</x:v>
      </x:c>
      <x:c r="G13" s="12" t="str">
        <x:v>A2</x:v>
      </x:c>
      <x:c r="H13" s="12" t="str">
        <x:v>Dùng anchor phụ để tránh trùng lặp.</x:v>
      </x:c>
    </x:row>
    <x:row r="14">
      <x:c r="A14" s="12" t="str">
        <x:v>BLG-007</x:v>
      </x:c>
      <x:c r="B14" s="12" t="str">
        <x:v>Build PC 30 Triệu: Cấu Hình Gaming, Stream Và Đồ Họa Bán Chuyên</x:v>
      </x:c>
      <x:c r="C14" s="12" t="str">
        <x:v>Đoạn mở bài hoặc sau H2 đầu</x:v>
      </x:c>
      <x:c r="D14" s="12" t="str">
        <x:v>build PC 30 triệu</x:v>
      </x:c>
      <x:c r="E14" s="12" t="str">
        <x:v>/pages/xay-dung-cau-hinh</x:v>
      </x:c>
      <x:c r="F14" s="12" t="str">
        <x:v>Đẩy target chính</x:v>
      </x:c>
      <x:c r="G14" s="12" t="str">
        <x:v>A2</x:v>
      </x:c>
      <x:c r="H14" s="12" t="str">
        <x:v>Không spam anchor; đặt tự nhiên trong câu.</x:v>
      </x:c>
    </x:row>
    <x:row r="15">
      <x:c r="A15" s="12" t="str">
        <x:v>BLG-007</x:v>
      </x:c>
      <x:c r="B15" s="12" t="str">
        <x:v>Build PC 30 Triệu: Cấu Hình Gaming, Stream Và Đồ Họa Bán Chuyên</x:v>
      </x:c>
      <x:c r="C15" s="12" t="str">
        <x:v>Giữa bài hoặc CTA cuối</x:v>
      </x:c>
      <x:c r="D15" s="12" t="str">
        <x:v>cấu hình PC theo ngân sách</x:v>
      </x:c>
      <x:c r="E15" s="12" t="str">
        <x:v>/blogs/huong-dan/build-pc-gaming-theo-ngan-sach</x:v>
      </x:c>
      <x:c r="F15" s="12" t="str">
        <x:v>Tạo mạng liên kết nội bộ hỗ trợ topical authority</x:v>
      </x:c>
      <x:c r="G15" s="12" t="str">
        <x:v>A2</x:v>
      </x:c>
      <x:c r="H15" s="12" t="str">
        <x:v>Dùng anchor phụ để tránh trùng lặp.</x:v>
      </x:c>
    </x:row>
    <x:row r="16">
      <x:c r="A16" s="12" t="str">
        <x:v>BLG-008</x:v>
      </x:c>
      <x:c r="B16" s="12" t="str">
        <x:v>Build PC 40 Triệu: Cấu Hình Cao Cấp Cho Gaming 2K, Đồ Họa Và AI</x:v>
      </x:c>
      <x:c r="C16" s="12" t="str">
        <x:v>Đoạn mở bài hoặc sau H2 đầu</x:v>
      </x:c>
      <x:c r="D16" s="12" t="str">
        <x:v>build PC 40 triệu</x:v>
      </x:c>
      <x:c r="E16" s="12" t="str">
        <x:v>/pages/xay-dung-cau-hinh</x:v>
      </x:c>
      <x:c r="F16" s="12" t="str">
        <x:v>Đẩy target chính</x:v>
      </x:c>
      <x:c r="G16" s="12" t="str">
        <x:v>A2</x:v>
      </x:c>
      <x:c r="H16" s="12" t="str">
        <x:v>Không spam anchor; đặt tự nhiên trong câu.</x:v>
      </x:c>
    </x:row>
    <x:row r="17">
      <x:c r="A17" s="12" t="str">
        <x:v>BLG-008</x:v>
      </x:c>
      <x:c r="B17" s="12" t="str">
        <x:v>Build PC 40 Triệu: Cấu Hình Cao Cấp Cho Gaming 2K, Đồ Họa Và AI</x:v>
      </x:c>
      <x:c r="C17" s="12" t="str">
        <x:v>Giữa bài hoặc CTA cuối</x:v>
      </x:c>
      <x:c r="D17" s="12" t="str">
        <x:v>cấu hình PC theo ngân sách</x:v>
      </x:c>
      <x:c r="E17" s="12" t="str">
        <x:v>/blogs/huong-dan/build-pc-gaming-theo-ngan-sach</x:v>
      </x:c>
      <x:c r="F17" s="12" t="str">
        <x:v>Tạo mạng liên kết nội bộ hỗ trợ topical authority</x:v>
      </x:c>
      <x:c r="G17" s="12" t="str">
        <x:v>A2</x:v>
      </x:c>
      <x:c r="H17" s="12" t="str">
        <x:v>Dùng anchor phụ để tránh trùng lặp.</x:v>
      </x:c>
    </x:row>
    <x:row r="18">
      <x:c r="A18" s="12" t="str">
        <x:v>BLG-009</x:v>
      </x:c>
      <x:c r="B18" s="12" t="str">
        <x:v>Build PC Văn Phòng Giá Rẻ: Cấu Hình Ổn Định Cho Học Tập Và Làm Việc</x:v>
      </x:c>
      <x:c r="C18" s="12" t="str">
        <x:v>Đoạn mở bài hoặc sau H2 đầu</x:v>
      </x:c>
      <x:c r="D18" s="12" t="str">
        <x:v>build PC văn phòng</x:v>
      </x:c>
      <x:c r="E18" s="12" t="str">
        <x:v>/pages/xay-dung-cau-hinh</x:v>
      </x:c>
      <x:c r="F18" s="12" t="str">
        <x:v>Đẩy target chính</x:v>
      </x:c>
      <x:c r="G18" s="12" t="str">
        <x:v>A2</x:v>
      </x:c>
      <x:c r="H18" s="12" t="str">
        <x:v>Không spam anchor; đặt tự nhiên trong câu.</x:v>
      </x:c>
    </x:row>
    <x:row r="19">
      <x:c r="A19" s="12" t="str">
        <x:v>BLG-009</x:v>
      </x:c>
      <x:c r="B19" s="12" t="str">
        <x:v>Build PC Văn Phòng Giá Rẻ: Cấu Hình Ổn Định Cho Học Tập Và Làm Việc</x:v>
      </x:c>
      <x:c r="C19" s="12" t="str">
        <x:v>Giữa bài hoặc CTA cuối</x:v>
      </x:c>
      <x:c r="D19" s="12" t="str">
        <x:v>cấu hình PC theo ngân sách</x:v>
      </x:c>
      <x:c r="E19" s="12" t="str">
        <x:v>/blogs/huong-dan/build-pc-gaming-theo-ngan-sach</x:v>
      </x:c>
      <x:c r="F19" s="12" t="str">
        <x:v>Tạo mạng liên kết nội bộ hỗ trợ topical authority</x:v>
      </x:c>
      <x:c r="G19" s="12" t="str">
        <x:v>A2</x:v>
      </x:c>
      <x:c r="H19" s="12" t="str">
        <x:v>Dùng anchor phụ để tránh trùng lặp.</x:v>
      </x:c>
    </x:row>
    <x:row r="20">
      <x:c r="A20" s="12" t="str">
        <x:v>BLG-010</x:v>
      </x:c>
      <x:c r="B20" s="12" t="str">
        <x:v>Build PC Đồ Họa: Cách Chọn CPU, VGA, RAM, SSD Cho Photoshop, Premiere, AutoCAD</x:v>
      </x:c>
      <x:c r="C20" s="12" t="str">
        <x:v>Đoạn mở bài hoặc sau H2 đầu</x:v>
      </x:c>
      <x:c r="D20" s="12" t="str">
        <x:v>build PC đồ họa</x:v>
      </x:c>
      <x:c r="E20" s="12" t="str">
        <x:v>/pages/xay-dung-cau-hinh</x:v>
      </x:c>
      <x:c r="F20" s="12" t="str">
        <x:v>Đẩy target chính</x:v>
      </x:c>
      <x:c r="G20" s="12" t="str">
        <x:v>A2</x:v>
      </x:c>
      <x:c r="H20" s="12" t="str">
        <x:v>Không spam anchor; đặt tự nhiên trong câu.</x:v>
      </x:c>
    </x:row>
    <x:row r="21">
      <x:c r="A21" s="12" t="str">
        <x:v>BLG-010</x:v>
      </x:c>
      <x:c r="B21" s="12" t="str">
        <x:v>Build PC Đồ Họa: Cách Chọn CPU, VGA, RAM, SSD Cho Photoshop, Premiere, AutoCAD</x:v>
      </x:c>
      <x:c r="C21" s="12" t="str">
        <x:v>Giữa bài hoặc CTA cuối</x:v>
      </x:c>
      <x:c r="D21" s="12" t="str">
        <x:v>cấu hình PC theo ngân sách</x:v>
      </x:c>
      <x:c r="E21" s="12" t="str">
        <x:v>/blogs/huong-dan/build-pc-gaming-theo-ngan-sach</x:v>
      </x:c>
      <x:c r="F21" s="12" t="str">
        <x:v>Tạo mạng liên kết nội bộ hỗ trợ topical authority</x:v>
      </x:c>
      <x:c r="G21" s="12" t="str">
        <x:v>A2</x:v>
      </x:c>
      <x:c r="H21" s="12" t="str">
        <x:v>Dùng anchor phụ để tránh trùng lặp.</x:v>
      </x:c>
    </x:row>
    <x:row r="22">
      <x:c r="A22" s="12" t="str">
        <x:v>BLG-011</x:v>
      </x:c>
      <x:c r="B22" s="12" t="str">
        <x:v>Build PC AI Là Gì? Cấu Hình Máy Tính Cho AI, Render Và Data</x:v>
      </x:c>
      <x:c r="C22" s="12" t="str">
        <x:v>Đoạn mở bài hoặc sau H2 đầu</x:v>
      </x:c>
      <x:c r="D22" s="12" t="str">
        <x:v>build PC AI</x:v>
      </x:c>
      <x:c r="E22" s="12" t="str">
        <x:v>/pages/xay-dung-cau-hinh</x:v>
      </x:c>
      <x:c r="F22" s="12" t="str">
        <x:v>Đẩy target chính</x:v>
      </x:c>
      <x:c r="G22" s="12" t="str">
        <x:v>B</x:v>
      </x:c>
      <x:c r="H22" s="12" t="str">
        <x:v>Không spam anchor; đặt tự nhiên trong câu.</x:v>
      </x:c>
    </x:row>
    <x:row r="23">
      <x:c r="A23" s="12" t="str">
        <x:v>BLG-011</x:v>
      </x:c>
      <x:c r="B23" s="12" t="str">
        <x:v>Build PC AI Là Gì? Cấu Hình Máy Tính Cho AI, Render Và Data</x:v>
      </x:c>
      <x:c r="C23" s="12" t="str">
        <x:v>Giữa bài hoặc CTA cuối</x:v>
      </x:c>
      <x:c r="D23" s="12" t="str">
        <x:v>cấu hình PC theo ngân sách</x:v>
      </x:c>
      <x:c r="E23" s="12" t="str">
        <x:v>/blogs/huong-dan/build-pc-gaming-theo-ngan-sach</x:v>
      </x:c>
      <x:c r="F23" s="12" t="str">
        <x:v>Tạo mạng liên kết nội bộ hỗ trợ topical authority</x:v>
      </x:c>
      <x:c r="G23" s="12" t="str">
        <x:v>B</x:v>
      </x:c>
      <x:c r="H23" s="12" t="str">
        <x:v>Dùng anchor phụ để tránh trùng lặp.</x:v>
      </x:c>
    </x:row>
    <x:row r="24">
      <x:c r="A24" s="12" t="str">
        <x:v>BLG-012</x:v>
      </x:c>
      <x:c r="B24" s="12" t="str">
        <x:v>Build PC Chơi Game 2K: Nên Chọn RTX 4060 Ti, RTX 4070 Hay RTX 5060?</x:v>
      </x:c>
      <x:c r="C24" s="12" t="str">
        <x:v>Đoạn mở bài hoặc sau H2 đầu</x:v>
      </x:c>
      <x:c r="D24" s="12" t="str">
        <x:v>build PC chơi game 2K</x:v>
      </x:c>
      <x:c r="E24" s="12" t="str">
        <x:v>/pages/xay-dung-cau-hinh</x:v>
      </x:c>
      <x:c r="F24" s="12" t="str">
        <x:v>Đẩy target chính</x:v>
      </x:c>
      <x:c r="G24" s="12" t="str">
        <x:v>B</x:v>
      </x:c>
      <x:c r="H24" s="12" t="str">
        <x:v>Không spam anchor; đặt tự nhiên trong câu.</x:v>
      </x:c>
    </x:row>
    <x:row r="25">
      <x:c r="A25" s="12" t="str">
        <x:v>BLG-012</x:v>
      </x:c>
      <x:c r="B25" s="12" t="str">
        <x:v>Build PC Chơi Game 2K: Nên Chọn RTX 4060 Ti, RTX 4070 Hay RTX 5060?</x:v>
      </x:c>
      <x:c r="C25" s="12" t="str">
        <x:v>Giữa bài hoặc CTA cuối</x:v>
      </x:c>
      <x:c r="D25" s="12" t="str">
        <x:v>cấu hình PC theo ngân sách</x:v>
      </x:c>
      <x:c r="E25" s="12" t="str">
        <x:v>/blogs/huong-dan/build-pc-gaming-theo-ngan-sach</x:v>
      </x:c>
      <x:c r="F25" s="12" t="str">
        <x:v>Tạo mạng liên kết nội bộ hỗ trợ topical authority</x:v>
      </x:c>
      <x:c r="G25" s="12" t="str">
        <x:v>B</x:v>
      </x:c>
      <x:c r="H25" s="12" t="str">
        <x:v>Dùng anchor phụ để tránh trùng lặp.</x:v>
      </x:c>
    </x:row>
    <x:row r="26">
      <x:c r="A26" s="12" t="str">
        <x:v>BLG-013</x:v>
      </x:c>
      <x:c r="B26" s="12" t="str">
        <x:v>Có Nên Mua SSD Cũ Không? Kinh Nghiệm Chọn SSD Cũ Bền, Ít Lỗi</x:v>
      </x:c>
      <x:c r="C26" s="12" t="str">
        <x:v>Đoạn mở bài hoặc sau H2 đầu</x:v>
      </x:c>
      <x:c r="D26" s="12" t="str">
        <x:v>ssd cũ</x:v>
      </x:c>
      <x:c r="E26" s="12" t="str">
        <x:v>/collections/ssd-cu</x:v>
      </x:c>
      <x:c r="F26" s="12" t="str">
        <x:v>Đẩy target chính</x:v>
      </x:c>
      <x:c r="G26" s="12" t="str">
        <x:v>A1</x:v>
      </x:c>
      <x:c r="H26" s="12" t="str">
        <x:v>Không spam anchor; đặt tự nhiên trong câu.</x:v>
      </x:c>
    </x:row>
    <x:row r="27">
      <x:c r="A27" s="12" t="str">
        <x:v>BLG-013</x:v>
      </x:c>
      <x:c r="B27" s="12" t="str">
        <x:v>Có Nên Mua SSD Cũ Không? Kinh Nghiệm Chọn SSD Cũ Bền, Ít Lỗi</x:v>
      </x:c>
      <x:c r="C27" s="12" t="str">
        <x:v>Giữa bài hoặc CTA cuối</x:v>
      </x:c>
      <x:c r="D27" s="12" t="str">
        <x:v>sản phẩm đang có hàng</x:v>
      </x:c>
      <x:c r="E27" s="12" t="str">
        <x:v>/collections/ssd-cu</x:v>
      </x:c>
      <x:c r="F27" s="12" t="str">
        <x:v>Tạo mạng liên kết nội bộ hỗ trợ topical authority</x:v>
      </x:c>
      <x:c r="G27" s="12" t="str">
        <x:v>A1</x:v>
      </x:c>
      <x:c r="H27" s="12" t="str">
        <x:v>Dùng anchor phụ để tránh trùng lặp.</x:v>
      </x:c>
    </x:row>
    <x:row r="28">
      <x:c r="A28" s="12" t="str">
        <x:v>BLG-014</x:v>
      </x:c>
      <x:c r="B28" s="12" t="str">
        <x:v>SSD SATA Cũ Hay SSD NVMe Cũ: Nên Chọn Loại Nào Cho PC, Laptop?</x:v>
      </x:c>
      <x:c r="C28" s="12" t="str">
        <x:v>Đoạn mở bài hoặc sau H2 đầu</x:v>
      </x:c>
      <x:c r="D28" s="12" t="str">
        <x:v>SSD NVMe cũ</x:v>
      </x:c>
      <x:c r="E28" s="12" t="str">
        <x:v>/collections/ssd-cu</x:v>
      </x:c>
      <x:c r="F28" s="12" t="str">
        <x:v>Đẩy target chính</x:v>
      </x:c>
      <x:c r="G28" s="12" t="str">
        <x:v>A2</x:v>
      </x:c>
      <x:c r="H28" s="12" t="str">
        <x:v>Không spam anchor; đặt tự nhiên trong câu.</x:v>
      </x:c>
    </x:row>
    <x:row r="29">
      <x:c r="A29" s="12" t="str">
        <x:v>BLG-014</x:v>
      </x:c>
      <x:c r="B29" s="12" t="str">
        <x:v>SSD SATA Cũ Hay SSD NVMe Cũ: Nên Chọn Loại Nào Cho PC, Laptop?</x:v>
      </x:c>
      <x:c r="C29" s="12" t="str">
        <x:v>Giữa bài hoặc CTA cuối</x:v>
      </x:c>
      <x:c r="D29" s="12" t="str">
        <x:v>sản phẩm đang có hàng</x:v>
      </x:c>
      <x:c r="E29" s="12" t="str">
        <x:v>/collections/ssd-cu</x:v>
      </x:c>
      <x:c r="F29" s="12" t="str">
        <x:v>Tạo mạng liên kết nội bộ hỗ trợ topical authority</x:v>
      </x:c>
      <x:c r="G29" s="12" t="str">
        <x:v>A2</x:v>
      </x:c>
      <x:c r="H29" s="12" t="str">
        <x:v>Dùng anchor phụ để tránh trùng lặp.</x:v>
      </x:c>
    </x:row>
    <x:row r="30">
      <x:c r="A30" s="12" t="str">
        <x:v>BLG-015</x:v>
      </x:c>
      <x:c r="B30" s="12" t="str">
        <x:v>RTX 4060 Cũ Có Đáng Mua Không? Hiệu Năng, Giá Và Cách Test Trước Khi Mua</x:v>
      </x:c>
      <x:c r="C30" s="12" t="str">
        <x:v>Đoạn mở bài hoặc sau H2 đầu</x:v>
      </x:c>
      <x:c r="D30" s="12" t="str">
        <x:v>RTX 4060 cũ</x:v>
      </x:c>
      <x:c r="E30" s="12" t="str">
        <x:v>/collections/vga-cu</x:v>
      </x:c>
      <x:c r="F30" s="12" t="str">
        <x:v>Đẩy target chính</x:v>
      </x:c>
      <x:c r="G30" s="12" t="str">
        <x:v>A1</x:v>
      </x:c>
      <x:c r="H30" s="12" t="str">
        <x:v>Không spam anchor; đặt tự nhiên trong câu.</x:v>
      </x:c>
    </x:row>
    <x:row r="31">
      <x:c r="A31" s="12" t="str">
        <x:v>BLG-015</x:v>
      </x:c>
      <x:c r="B31" s="12" t="str">
        <x:v>RTX 4060 Cũ Có Đáng Mua Không? Hiệu Năng, Giá Và Cách Test Trước Khi Mua</x:v>
      </x:c>
      <x:c r="C31" s="12" t="str">
        <x:v>Giữa bài hoặc CTA cuối</x:v>
      </x:c>
      <x:c r="D31" s="12" t="str">
        <x:v>sản phẩm đang có hàng</x:v>
      </x:c>
      <x:c r="E31" s="12" t="str">
        <x:v>/collections/vga-cu</x:v>
      </x:c>
      <x:c r="F31" s="12" t="str">
        <x:v>Tạo mạng liên kết nội bộ hỗ trợ topical authority</x:v>
      </x:c>
      <x:c r="G31" s="12" t="str">
        <x:v>A1</x:v>
      </x:c>
      <x:c r="H31" s="12" t="str">
        <x:v>Dùng anchor phụ để tránh trùng lặp.</x:v>
      </x:c>
    </x:row>
    <x:row r="32">
      <x:c r="A32" s="12" t="str">
        <x:v>BLG-016</x:v>
      </x:c>
      <x:c r="B32" s="12" t="str">
        <x:v>RTX 3060 Cũ Có Còn Đáng Mua Không? So Sánh Bản 8GB, 12GB Và RTX 4060</x:v>
      </x:c>
      <x:c r="C32" s="12" t="str">
        <x:v>Đoạn mở bài hoặc sau H2 đầu</x:v>
      </x:c>
      <x:c r="D32" s="12" t="str">
        <x:v>RTX 3060 cũ</x:v>
      </x:c>
      <x:c r="E32" s="12" t="str">
        <x:v>/collections/vga-cu</x:v>
      </x:c>
      <x:c r="F32" s="12" t="str">
        <x:v>Đẩy target chính</x:v>
      </x:c>
      <x:c r="G32" s="12" t="str">
        <x:v>A1</x:v>
      </x:c>
      <x:c r="H32" s="12" t="str">
        <x:v>Không spam anchor; đặt tự nhiên trong câu.</x:v>
      </x:c>
    </x:row>
    <x:row r="33">
      <x:c r="A33" s="12" t="str">
        <x:v>BLG-016</x:v>
      </x:c>
      <x:c r="B33" s="12" t="str">
        <x:v>RTX 3060 Cũ Có Còn Đáng Mua Không? So Sánh Bản 8GB, 12GB Và RTX 4060</x:v>
      </x:c>
      <x:c r="C33" s="12" t="str">
        <x:v>Giữa bài hoặc CTA cuối</x:v>
      </x:c>
      <x:c r="D33" s="12" t="str">
        <x:v>sản phẩm đang có hàng</x:v>
      </x:c>
      <x:c r="E33" s="12" t="str">
        <x:v>/collections/vga-cu</x:v>
      </x:c>
      <x:c r="F33" s="12" t="str">
        <x:v>Tạo mạng liên kết nội bộ hỗ trợ topical authority</x:v>
      </x:c>
      <x:c r="G33" s="12" t="str">
        <x:v>A1</x:v>
      </x:c>
      <x:c r="H33" s="12" t="str">
        <x:v>Dùng anchor phụ để tránh trùng lặp.</x:v>
      </x:c>
    </x:row>
    <x:row r="34">
      <x:c r="A34" s="12" t="str">
        <x:v>BLG-017</x:v>
      </x:c>
      <x:c r="B34" s="12" t="str">
        <x:v>RTX 4070 Cũ Có Đáng Mua Không? Khi Nào Nên Chọn Thay Vì RTX 4060?</x:v>
      </x:c>
      <x:c r="C34" s="12" t="str">
        <x:v>Đoạn mở bài hoặc sau H2 đầu</x:v>
      </x:c>
      <x:c r="D34" s="12" t="str">
        <x:v>RTX 4070 cũ</x:v>
      </x:c>
      <x:c r="E34" s="12" t="str">
        <x:v>/collections/vga-cu</x:v>
      </x:c>
      <x:c r="F34" s="12" t="str">
        <x:v>Đẩy target chính</x:v>
      </x:c>
      <x:c r="G34" s="12" t="str">
        <x:v>A2</x:v>
      </x:c>
      <x:c r="H34" s="12" t="str">
        <x:v>Không spam anchor; đặt tự nhiên trong câu.</x:v>
      </x:c>
    </x:row>
    <x:row r="35">
      <x:c r="A35" s="12" t="str">
        <x:v>BLG-017</x:v>
      </x:c>
      <x:c r="B35" s="12" t="str">
        <x:v>RTX 4070 Cũ Có Đáng Mua Không? Khi Nào Nên Chọn Thay Vì RTX 4060?</x:v>
      </x:c>
      <x:c r="C35" s="12" t="str">
        <x:v>Giữa bài hoặc CTA cuối</x:v>
      </x:c>
      <x:c r="D35" s="12" t="str">
        <x:v>sản phẩm đang có hàng</x:v>
      </x:c>
      <x:c r="E35" s="12" t="str">
        <x:v>/collections/vga-cu</x:v>
      </x:c>
      <x:c r="F35" s="12" t="str">
        <x:v>Tạo mạng liên kết nội bộ hỗ trợ topical authority</x:v>
      </x:c>
      <x:c r="G35" s="12" t="str">
        <x:v>A2</x:v>
      </x:c>
      <x:c r="H35" s="12" t="str">
        <x:v>Dùng anchor phụ để tránh trùng lặp.</x:v>
      </x:c>
    </x:row>
    <x:row r="36">
      <x:c r="A36" s="12" t="str">
        <x:v>BLG-018</x:v>
      </x:c>
      <x:c r="B36" s="12" t="str">
        <x:v>Mua VGA Cũ Cần Test Gì? Cách Kiểm Tra Card Màn Hình Trước Khi Mua</x:v>
      </x:c>
      <x:c r="C36" s="12" t="str">
        <x:v>Đoạn mở bài hoặc sau H2 đầu</x:v>
      </x:c>
      <x:c r="D36" s="12" t="str">
        <x:v>test VGA cũ</x:v>
      </x:c>
      <x:c r="E36" s="12" t="str">
        <x:v>/collections/vga-cu</x:v>
      </x:c>
      <x:c r="F36" s="12" t="str">
        <x:v>Đẩy target chính</x:v>
      </x:c>
      <x:c r="G36" s="12" t="str">
        <x:v>A1</x:v>
      </x:c>
      <x:c r="H36" s="12" t="str">
        <x:v>Không spam anchor; đặt tự nhiên trong câu.</x:v>
      </x:c>
    </x:row>
    <x:row r="37">
      <x:c r="A37" s="12" t="str">
        <x:v>BLG-018</x:v>
      </x:c>
      <x:c r="B37" s="12" t="str">
        <x:v>Mua VGA Cũ Cần Test Gì? Cách Kiểm Tra Card Màn Hình Trước Khi Mua</x:v>
      </x:c>
      <x:c r="C37" s="12" t="str">
        <x:v>Giữa bài hoặc CTA cuối</x:v>
      </x:c>
      <x:c r="D37" s="12" t="str">
        <x:v>sản phẩm đang có hàng</x:v>
      </x:c>
      <x:c r="E37" s="12" t="str">
        <x:v>/collections/vga-cu</x:v>
      </x:c>
      <x:c r="F37" s="12" t="str">
        <x:v>Tạo mạng liên kết nội bộ hỗ trợ topical authority</x:v>
      </x:c>
      <x:c r="G37" s="12" t="str">
        <x:v>A1</x:v>
      </x:c>
      <x:c r="H37" s="12" t="str">
        <x:v>Dùng anchor phụ để tránh trùng lặp.</x:v>
      </x:c>
    </x:row>
    <x:row r="38">
      <x:c r="A38" s="12" t="str">
        <x:v>BLG-019</x:v>
      </x:c>
      <x:c r="B38" s="12" t="str">
        <x:v>Linh Kiện PC Cũ TPHCM: Kinh Nghiệm Mua Hàng Có Test Và Bảo Hành</x:v>
      </x:c>
      <x:c r="C38" s="12" t="str">
        <x:v>Đoạn mở bài hoặc sau H2 đầu</x:v>
      </x:c>
      <x:c r="D38" s="12" t="str">
        <x:v>linh kiện PC cũ TPHCM</x:v>
      </x:c>
      <x:c r="E38" s="12" t="str">
        <x:v>/collections/linh-kien-pc-cu</x:v>
      </x:c>
      <x:c r="F38" s="12" t="str">
        <x:v>Đẩy target chính</x:v>
      </x:c>
      <x:c r="G38" s="12" t="str">
        <x:v>A2</x:v>
      </x:c>
      <x:c r="H38" s="12" t="str">
        <x:v>Không spam anchor; đặt tự nhiên trong câu.</x:v>
      </x:c>
    </x:row>
    <x:row r="39">
      <x:c r="A39" s="12" t="str">
        <x:v>BLG-019</x:v>
      </x:c>
      <x:c r="B39" s="12" t="str">
        <x:v>Linh Kiện PC Cũ TPHCM: Kinh Nghiệm Mua Hàng Có Test Và Bảo Hành</x:v>
      </x:c>
      <x:c r="C39" s="12" t="str">
        <x:v>Giữa bài hoặc CTA cuối</x:v>
      </x:c>
      <x:c r="D39" s="12" t="str">
        <x:v>linh kiện PC cũ đã test</x:v>
      </x:c>
      <x:c r="E39" s="12" t="str">
        <x:v>/collections/linh-kien-pc-cu</x:v>
      </x:c>
      <x:c r="F39" s="12" t="str">
        <x:v>Tạo mạng liên kết nội bộ hỗ trợ topical authority</x:v>
      </x:c>
      <x:c r="G39" s="12" t="str">
        <x:v>A2</x:v>
      </x:c>
      <x:c r="H39" s="12" t="str">
        <x:v>Dùng anchor phụ để tránh trùng lặp.</x:v>
      </x:c>
    </x:row>
    <x:row r="40">
      <x:c r="A40" s="12" t="str">
        <x:v>BLG-020</x:v>
      </x:c>
      <x:c r="B40" s="12" t="str">
        <x:v>CPU Cũ Có Đáng Mua Không? Kinh Nghiệm Chọn CPU Intel, AMD Cũ</x:v>
      </x:c>
      <x:c r="C40" s="12" t="str">
        <x:v>Đoạn mở bài hoặc sau H2 đầu</x:v>
      </x:c>
      <x:c r="D40" s="12" t="str">
        <x:v>CPU cũ</x:v>
      </x:c>
      <x:c r="E40" s="12" t="str">
        <x:v>/collections/cpu-cu</x:v>
      </x:c>
      <x:c r="F40" s="12" t="str">
        <x:v>Đẩy target chính</x:v>
      </x:c>
      <x:c r="G40" s="12" t="str">
        <x:v>B</x:v>
      </x:c>
      <x:c r="H40" s="12" t="str">
        <x:v>Không spam anchor; đặt tự nhiên trong câu.</x:v>
      </x:c>
    </x:row>
    <x:row r="41">
      <x:c r="A41" s="12" t="str">
        <x:v>BLG-020</x:v>
      </x:c>
      <x:c r="B41" s="12" t="str">
        <x:v>CPU Cũ Có Đáng Mua Không? Kinh Nghiệm Chọn CPU Intel, AMD Cũ</x:v>
      </x:c>
      <x:c r="C41" s="12" t="str">
        <x:v>Giữa bài hoặc CTA cuối</x:v>
      </x:c>
      <x:c r="D41" s="12" t="str">
        <x:v>sản phẩm đang có hàng</x:v>
      </x:c>
      <x:c r="E41" s="12" t="str">
        <x:v>/collections/linh-kien-pc-cu</x:v>
      </x:c>
      <x:c r="F41" s="12" t="str">
        <x:v>Tạo mạng liên kết nội bộ hỗ trợ topical authority</x:v>
      </x:c>
      <x:c r="G41" s="12" t="str">
        <x:v>B</x:v>
      </x:c>
      <x:c r="H41" s="12" t="str">
        <x:v>Dùng anchor phụ để tránh trùng lặp.</x:v>
      </x:c>
    </x:row>
    <x:row r="42">
      <x:c r="A42" s="12" t="str">
        <x:v>BLG-021</x:v>
      </x:c>
      <x:c r="B42" s="12" t="str">
        <x:v>Thu Mua Linh Kiện PC Cũ TPHCM: Bảng Giá Tham Khảo Và Quy Trình Kiểm Tra</x:v>
      </x:c>
      <x:c r="C42" s="12" t="str">
        <x:v>Đoạn mở bài hoặc sau H2 đầu</x:v>
      </x:c>
      <x:c r="D42" s="12" t="str">
        <x:v>thu mua linh kiện PC cũ</x:v>
      </x:c>
      <x:c r="E42" s="12" t="str">
        <x:v>/pages/thu-mua-linh-kien-pc-cu</x:v>
      </x:c>
      <x:c r="F42" s="12" t="str">
        <x:v>Đẩy target chính</x:v>
      </x:c>
      <x:c r="G42" s="12" t="str">
        <x:v>B</x:v>
      </x:c>
      <x:c r="H42" s="12" t="str">
        <x:v>Không spam anchor; đặt tự nhiên trong câu.</x:v>
      </x:c>
    </x:row>
    <x:row r="43">
      <x:c r="A43" s="12" t="str">
        <x:v>BLG-021</x:v>
      </x:c>
      <x:c r="B43" s="12" t="str">
        <x:v>Thu Mua Linh Kiện PC Cũ TPHCM: Bảng Giá Tham Khảo Và Quy Trình Kiểm Tra</x:v>
      </x:c>
      <x:c r="C43" s="12" t="str">
        <x:v>Giữa bài hoặc CTA cuối</x:v>
      </x:c>
      <x:c r="D43" s="12" t="str">
        <x:v>linh kiện PC cũ đã test</x:v>
      </x:c>
      <x:c r="E43" s="12" t="str">
        <x:v>/collections/linh-kien-pc-cu</x:v>
      </x:c>
      <x:c r="F43" s="12" t="str">
        <x:v>Tạo mạng liên kết nội bộ hỗ trợ topical authority</x:v>
      </x:c>
      <x:c r="G43" s="12" t="str">
        <x:v>B</x:v>
      </x:c>
      <x:c r="H43" s="12" t="str">
        <x:v>Dùng anchor phụ để tránh trùng lặp.</x:v>
      </x:c>
    </x:row>
    <x:row r="44">
      <x:c r="A44" s="12" t="str">
        <x:v>BLG-022</x:v>
      </x:c>
      <x:c r="B44" s="12" t="str">
        <x:v>Bảng Mã Lỗi Main X99: AA, 60, 67, 73, BD, FF Là Gì Và Cách Xử Lý</x:v>
      </x:c>
      <x:c r="C44" s="12" t="str">
        <x:v>Đoạn mở bài hoặc sau H2 đầu</x:v>
      </x:c>
      <x:c r="D44" s="12" t="str">
        <x:v>main X99 cũ</x:v>
      </x:c>
      <x:c r="E44" s="12" t="str">
        <x:v>/collections/mainboard-cu</x:v>
      </x:c>
      <x:c r="F44" s="12" t="str">
        <x:v>Đẩy target chính</x:v>
      </x:c>
      <x:c r="G44" s="12" t="str">
        <x:v>B</x:v>
      </x:c>
      <x:c r="H44" s="12" t="str">
        <x:v>Không spam anchor; đặt tự nhiên trong câu.</x:v>
      </x:c>
    </x:row>
    <x:row r="45">
      <x:c r="A45" s="12" t="str">
        <x:v>BLG-022</x:v>
      </x:c>
      <x:c r="B45" s="12" t="str">
        <x:v>Bảng Mã Lỗi Main X99: AA, 60, 67, 73, BD, FF Là Gì Và Cách Xử Lý</x:v>
      </x:c>
      <x:c r="C45" s="12" t="str">
        <x:v>Giữa bài hoặc CTA cuối</x:v>
      </x:c>
      <x:c r="D45" s="12" t="str">
        <x:v>sản phẩm đang có hàng</x:v>
      </x:c>
      <x:c r="E45" s="12" t="str">
        <x:v>/collections/linh-kien-pc-cu</x:v>
      </x:c>
      <x:c r="F45" s="12" t="str">
        <x:v>Tạo mạng liên kết nội bộ hỗ trợ topical authority</x:v>
      </x:c>
      <x:c r="G45" s="12" t="str">
        <x:v>B</x:v>
      </x:c>
      <x:c r="H45" s="12" t="str">
        <x:v>Dùng anchor phụ để tránh trùng lặp.</x:v>
      </x:c>
    </x:row>
    <x:row r="46">
      <x:c r="A46" s="12" t="str">
        <x:v>BLG-023</x:v>
      </x:c>
      <x:c r="B46" s="12" t="str">
        <x:v>Office 2021 Bản Quyền Khác Gì Office Crack Khi Làm Việc Hằng Ngày?</x:v>
      </x:c>
      <x:c r="C46" s="12" t="str">
        <x:v>Đoạn mở bài hoặc sau H2 đầu</x:v>
      </x:c>
      <x:c r="D46" s="12" t="str">
        <x:v>Office 2021 bản quyền</x:v>
      </x:c>
      <x:c r="E46" s="12" t="str">
        <x:v>/collections/phan-mem-ban-quyen</x:v>
      </x:c>
      <x:c r="F46" s="12" t="str">
        <x:v>Đẩy target chính</x:v>
      </x:c>
      <x:c r="G46" s="12" t="str">
        <x:v>A1</x:v>
      </x:c>
      <x:c r="H46" s="12" t="str">
        <x:v>Không spam anchor; đặt tự nhiên trong câu.</x:v>
      </x:c>
    </x:row>
    <x:row r="47">
      <x:c r="A47" s="12" t="str">
        <x:v>BLG-023</x:v>
      </x:c>
      <x:c r="B47" s="12" t="str">
        <x:v>Office 2021 Bản Quyền Khác Gì Office Crack Khi Làm Việc Hằng Ngày?</x:v>
      </x:c>
      <x:c r="C47" s="12" t="str">
        <x:v>Giữa bài hoặc CTA cuối</x:v>
      </x:c>
      <x:c r="D47" s="12" t="str">
        <x:v>phần mềm bản quyền tại Sintech</x:v>
      </x:c>
      <x:c r="E47" s="12" t="str">
        <x:v>/collections/phan-mem-ban-quyen</x:v>
      </x:c>
      <x:c r="F47" s="12" t="str">
        <x:v>Tạo mạng liên kết nội bộ hỗ trợ topical authority</x:v>
      </x:c>
      <x:c r="G47" s="12" t="str">
        <x:v>A1</x:v>
      </x:c>
      <x:c r="H47" s="12" t="str">
        <x:v>Dùng anchor phụ để tránh trùng lặp.</x:v>
      </x:c>
    </x:row>
    <x:row r="48">
      <x:c r="A48" s="12" t="str">
        <x:v>BLG-024</x:v>
      </x:c>
      <x:c r="B48" s="12" t="str">
        <x:v>Office 2021 Crack Có An Toàn Không? Rủi Ro Khi Dùng Trong Công Việc</x:v>
      </x:c>
      <x:c r="C48" s="12" t="str">
        <x:v>Đoạn mở bài hoặc sau H2 đầu</x:v>
      </x:c>
      <x:c r="D48" s="12" t="str">
        <x:v>Office bản quyền</x:v>
      </x:c>
      <x:c r="E48" s="12" t="str">
        <x:v>/collections/phan-mem-ban-quyen</x:v>
      </x:c>
      <x:c r="F48" s="12" t="str">
        <x:v>Đẩy target chính</x:v>
      </x:c>
      <x:c r="G48" s="12" t="str">
        <x:v>A2</x:v>
      </x:c>
      <x:c r="H48" s="12" t="str">
        <x:v>Không spam anchor; đặt tự nhiên trong câu.</x:v>
      </x:c>
    </x:row>
    <x:row r="49">
      <x:c r="A49" s="12" t="str">
        <x:v>BLG-024</x:v>
      </x:c>
      <x:c r="B49" s="12" t="str">
        <x:v>Office 2021 Crack Có An Toàn Không? Rủi Ro Khi Dùng Trong Công Việc</x:v>
      </x:c>
      <x:c r="C49" s="12" t="str">
        <x:v>Giữa bài hoặc CTA cuối</x:v>
      </x:c>
      <x:c r="D49" s="12" t="str">
        <x:v>phần mềm bản quyền tại Sintech</x:v>
      </x:c>
      <x:c r="E49" s="12" t="str">
        <x:v>/collections/phan-mem-ban-quyen</x:v>
      </x:c>
      <x:c r="F49" s="12" t="str">
        <x:v>Tạo mạng liên kết nội bộ hỗ trợ topical authority</x:v>
      </x:c>
      <x:c r="G49" s="12" t="str">
        <x:v>A2</x:v>
      </x:c>
      <x:c r="H49" s="12" t="str">
        <x:v>Dùng anchor phụ để tránh trùng lặp.</x:v>
      </x:c>
    </x:row>
    <x:row r="50">
      <x:c r="A50" s="12" t="str">
        <x:v>BLG-025</x:v>
      </x:c>
      <x:c r="B50" s="12" t="str">
        <x:v>Cài Office 2021 Cho Windows 11: Nên Dùng Bản Quyền Hay Bản Crack?</x:v>
      </x:c>
      <x:c r="C50" s="12" t="str">
        <x:v>Đoạn mở bài hoặc sau H2 đầu</x:v>
      </x:c>
      <x:c r="D50" s="12" t="str">
        <x:v>cài Office 2021</x:v>
      </x:c>
      <x:c r="E50" s="12" t="str">
        <x:v>/collections/phan-mem-ban-quyen</x:v>
      </x:c>
      <x:c r="F50" s="12" t="str">
        <x:v>Đẩy target chính</x:v>
      </x:c>
      <x:c r="G50" s="12" t="str">
        <x:v>A2</x:v>
      </x:c>
      <x:c r="H50" s="12" t="str">
        <x:v>Không spam anchor; đặt tự nhiên trong câu.</x:v>
      </x:c>
    </x:row>
    <x:row r="51">
      <x:c r="A51" s="12" t="str">
        <x:v>BLG-025</x:v>
      </x:c>
      <x:c r="B51" s="12" t="str">
        <x:v>Cài Office 2021 Cho Windows 11: Nên Dùng Bản Quyền Hay Bản Crack?</x:v>
      </x:c>
      <x:c r="C51" s="12" t="str">
        <x:v>Giữa bài hoặc CTA cuối</x:v>
      </x:c>
      <x:c r="D51" s="12" t="str">
        <x:v>phần mềm bản quyền tại Sintech</x:v>
      </x:c>
      <x:c r="E51" s="12" t="str">
        <x:v>/collections/phan-mem-ban-quyen</x:v>
      </x:c>
      <x:c r="F51" s="12" t="str">
        <x:v>Tạo mạng liên kết nội bộ hỗ trợ topical authority</x:v>
      </x:c>
      <x:c r="G51" s="12" t="str">
        <x:v>A2</x:v>
      </x:c>
      <x:c r="H51" s="12" t="str">
        <x:v>Dùng anchor phụ để tránh trùng lặp.</x:v>
      </x:c>
    </x:row>
    <x:row r="52">
      <x:c r="A52" s="12" t="str">
        <x:v>BLG-026</x:v>
      </x:c>
      <x:c r="B52" s="12" t="str">
        <x:v>AutoCAD 2021 Crack Có Nên Dùng Không? Rủi Ro Cho Cá Nhân Và Doanh Nghiệp</x:v>
      </x:c>
      <x:c r="C52" s="12" t="str">
        <x:v>Đoạn mở bài hoặc sau H2 đầu</x:v>
      </x:c>
      <x:c r="D52" s="12" t="str">
        <x:v>AutoCAD bản quyền</x:v>
      </x:c>
      <x:c r="E52" s="12" t="str">
        <x:v>/collections/phan-mem-ban-quyen</x:v>
      </x:c>
      <x:c r="F52" s="12" t="str">
        <x:v>Đẩy target chính</x:v>
      </x:c>
      <x:c r="G52" s="12" t="str">
        <x:v>A2</x:v>
      </x:c>
      <x:c r="H52" s="12" t="str">
        <x:v>Không spam anchor; đặt tự nhiên trong câu.</x:v>
      </x:c>
    </x:row>
    <x:row r="53">
      <x:c r="A53" s="12" t="str">
        <x:v>BLG-026</x:v>
      </x:c>
      <x:c r="B53" s="12" t="str">
        <x:v>AutoCAD 2021 Crack Có Nên Dùng Không? Rủi Ro Cho Cá Nhân Và Doanh Nghiệp</x:v>
      </x:c>
      <x:c r="C53" s="12" t="str">
        <x:v>Giữa bài hoặc CTA cuối</x:v>
      </x:c>
      <x:c r="D53" s="12" t="str">
        <x:v>phần mềm bản quyền tại Sintech</x:v>
      </x:c>
      <x:c r="E53" s="12" t="str">
        <x:v>/collections/phan-mem-ban-quyen</x:v>
      </x:c>
      <x:c r="F53" s="12" t="str">
        <x:v>Tạo mạng liên kết nội bộ hỗ trợ topical authority</x:v>
      </x:c>
      <x:c r="G53" s="12" t="str">
        <x:v>A2</x:v>
      </x:c>
      <x:c r="H53" s="12" t="str">
        <x:v>Dùng anchor phụ để tránh trùng lặp.</x:v>
      </x:c>
    </x:row>
    <x:row r="54">
      <x:c r="A54" s="12" t="str">
        <x:v>BLG-027</x:v>
      </x:c>
      <x:c r="B54" s="12" t="str">
        <x:v>Hướng Dẫn Cài Đặt AutoCAD 2021 Hợp Lệ Trên Windows 10/11</x:v>
      </x:c>
      <x:c r="C54" s="12" t="str">
        <x:v>Đoạn mở bài hoặc sau H2 đầu</x:v>
      </x:c>
      <x:c r="D54" s="12" t="str">
        <x:v>cài đặt AutoCAD 2021</x:v>
      </x:c>
      <x:c r="E54" s="12" t="str">
        <x:v>/collections/phan-mem-ban-quyen</x:v>
      </x:c>
      <x:c r="F54" s="12" t="str">
        <x:v>Đẩy target chính</x:v>
      </x:c>
      <x:c r="G54" s="12" t="str">
        <x:v>A1</x:v>
      </x:c>
      <x:c r="H54" s="12" t="str">
        <x:v>Không spam anchor; đặt tự nhiên trong câu.</x:v>
      </x:c>
    </x:row>
    <x:row r="55">
      <x:c r="A55" s="12" t="str">
        <x:v>BLG-027</x:v>
      </x:c>
      <x:c r="B55" s="12" t="str">
        <x:v>Hướng Dẫn Cài Đặt AutoCAD 2021 Hợp Lệ Trên Windows 10/11</x:v>
      </x:c>
      <x:c r="C55" s="12" t="str">
        <x:v>Giữa bài hoặc CTA cuối</x:v>
      </x:c>
      <x:c r="D55" s="12" t="str">
        <x:v>phần mềm bản quyền tại Sintech</x:v>
      </x:c>
      <x:c r="E55" s="12" t="str">
        <x:v>/collections/phan-mem-ban-quyen</x:v>
      </x:c>
      <x:c r="F55" s="12" t="str">
        <x:v>Tạo mạng liên kết nội bộ hỗ trợ topical authority</x:v>
      </x:c>
      <x:c r="G55" s="12" t="str">
        <x:v>A1</x:v>
      </x:c>
      <x:c r="H55" s="12" t="str">
        <x:v>Dùng anchor phụ để tránh trùng lặp.</x:v>
      </x:c>
    </x:row>
    <x:row r="56">
      <x:c r="A56" s="12" t="str">
        <x:v>BLG-028</x:v>
      </x:c>
      <x:c r="B56" s="12" t="str">
        <x:v>AutoCAD 2021 Cần Cấu Hình Máy Tính Như Thế Nào Để Chạy Mượt?</x:v>
      </x:c>
      <x:c r="C56" s="12" t="str">
        <x:v>Đoạn mở bài hoặc sau H2 đầu</x:v>
      </x:c>
      <x:c r="D56" s="12" t="str">
        <x:v>cấu hình máy tính chạy AutoCAD</x:v>
      </x:c>
      <x:c r="E56" s="12" t="str">
        <x:v>/pages/xay-dung-cau-hinh</x:v>
      </x:c>
      <x:c r="F56" s="12" t="str">
        <x:v>Đẩy target chính</x:v>
      </x:c>
      <x:c r="G56" s="12" t="str">
        <x:v>B</x:v>
      </x:c>
      <x:c r="H56" s="12" t="str">
        <x:v>Không spam anchor; đặt tự nhiên trong câu.</x:v>
      </x:c>
    </x:row>
    <x:row r="57">
      <x:c r="A57" s="12" t="str">
        <x:v>BLG-028</x:v>
      </x:c>
      <x:c r="B57" s="12" t="str">
        <x:v>AutoCAD 2021 Cần Cấu Hình Máy Tính Như Thế Nào Để Chạy Mượt?</x:v>
      </x:c>
      <x:c r="C57" s="12" t="str">
        <x:v>Giữa bài hoặc CTA cuối</x:v>
      </x:c>
      <x:c r="D57" s="12" t="str">
        <x:v>phần mềm bản quyền tại Sintech</x:v>
      </x:c>
      <x:c r="E57" s="12" t="str">
        <x:v>/collections/phan-mem-ban-quyen</x:v>
      </x:c>
      <x:c r="F57" s="12" t="str">
        <x:v>Tạo mạng liên kết nội bộ hỗ trợ topical authority</x:v>
      </x:c>
      <x:c r="G57" s="12" t="str">
        <x:v>B</x:v>
      </x:c>
      <x:c r="H57" s="12" t="str">
        <x:v>Dùng anchor phụ để tránh trùng lặp.</x:v>
      </x:c>
    </x:row>
    <x:row r="58">
      <x:c r="A58" s="12" t="str">
        <x:v>BLG-029</x:v>
      </x:c>
      <x:c r="B58" s="12" t="str">
        <x:v>Adobe Acrobat Crack Có An Toàn Không? Rủi Ro Khi Xử Lý File PDF</x:v>
      </x:c>
      <x:c r="C58" s="12" t="str">
        <x:v>Đoạn mở bài hoặc sau H2 đầu</x:v>
      </x:c>
      <x:c r="D58" s="12" t="str">
        <x:v>Adobe Acrobat bản quyền</x:v>
      </x:c>
      <x:c r="E58" s="12" t="str">
        <x:v>/collections/phan-mem-ban-quyen</x:v>
      </x:c>
      <x:c r="F58" s="12" t="str">
        <x:v>Đẩy target chính</x:v>
      </x:c>
      <x:c r="G58" s="12" t="str">
        <x:v>B</x:v>
      </x:c>
      <x:c r="H58" s="12" t="str">
        <x:v>Không spam anchor; đặt tự nhiên trong câu.</x:v>
      </x:c>
    </x:row>
    <x:row r="59">
      <x:c r="A59" s="12" t="str">
        <x:v>BLG-029</x:v>
      </x:c>
      <x:c r="B59" s="12" t="str">
        <x:v>Adobe Acrobat Crack Có An Toàn Không? Rủi Ro Khi Xử Lý File PDF</x:v>
      </x:c>
      <x:c r="C59" s="12" t="str">
        <x:v>Giữa bài hoặc CTA cuối</x:v>
      </x:c>
      <x:c r="D59" s="12" t="str">
        <x:v>phần mềm bản quyền tại Sintech</x:v>
      </x:c>
      <x:c r="E59" s="12" t="str">
        <x:v>/collections/phan-mem-ban-quyen</x:v>
      </x:c>
      <x:c r="F59" s="12" t="str">
        <x:v>Tạo mạng liên kết nội bộ hỗ trợ topical authority</x:v>
      </x:c>
      <x:c r="G59" s="12" t="str">
        <x:v>B</x:v>
      </x:c>
      <x:c r="H59" s="12" t="str">
        <x:v>Dùng anchor phụ để tránh trùng lặp.</x:v>
      </x:c>
    </x:row>
    <x:row r="60">
      <x:c r="A60" s="12" t="str">
        <x:v>BLG-030</x:v>
      </x:c>
      <x:c r="B60" s="12" t="str">
        <x:v>CorelDRAW 2019/2021 Crack Có Nên Dùng Không? Rủi Ro Và Lựa Chọn Hợp Lệ</x:v>
      </x:c>
      <x:c r="C60" s="12" t="str">
        <x:v>Đoạn mở bài hoặc sau H2 đầu</x:v>
      </x:c>
      <x:c r="D60" s="12" t="str">
        <x:v>CorelDRAW bản quyền</x:v>
      </x:c>
      <x:c r="E60" s="12" t="str">
        <x:v>/collections/phan-mem-ban-quyen</x:v>
      </x:c>
      <x:c r="F60" s="12" t="str">
        <x:v>Đẩy target chính</x:v>
      </x:c>
      <x:c r="G60" s="12" t="str">
        <x:v>C</x:v>
      </x:c>
      <x:c r="H60" s="12" t="str">
        <x:v>Không spam anchor; đặt tự nhiên trong câu.</x:v>
      </x:c>
    </x:row>
    <x:row r="61">
      <x:c r="A61" s="12" t="str">
        <x:v>BLG-030</x:v>
      </x:c>
      <x:c r="B61" s="12" t="str">
        <x:v>CorelDRAW 2019/2021 Crack Có Nên Dùng Không? Rủi Ro Và Lựa Chọn Hợp Lệ</x:v>
      </x:c>
      <x:c r="C61" s="12" t="str">
        <x:v>Giữa bài hoặc CTA cuối</x:v>
      </x:c>
      <x:c r="D61" s="12" t="str">
        <x:v>phần mềm bản quyền tại Sintech</x:v>
      </x:c>
      <x:c r="E61" s="12" t="str">
        <x:v>/collections/phan-mem-ban-quyen</x:v>
      </x:c>
      <x:c r="F61" s="12" t="str">
        <x:v>Tạo mạng liên kết nội bộ hỗ trợ topical authority</x:v>
      </x:c>
      <x:c r="G61" s="12" t="str">
        <x:v>C</x:v>
      </x:c>
      <x:c r="H61" s="12" t="str">
        <x:v>Dùng anchor phụ để tránh trùng lặp.</x:v>
      </x:c>
    </x:row>
    <x:row r="62">
      <x:c r="A62" s="12" t="str">
        <x:v>BLG-031</x:v>
      </x:c>
      <x:c r="B62" s="12" t="str">
        <x:v>Sửa Máy Tính Quận 7: Kiểm Tra, Cài Đặt, Nâng Cấp PC/Laptop Tại Sintech</x:v>
      </x:c>
      <x:c r="C62" s="12" t="str">
        <x:v>Đoạn mở bài hoặc sau H2 đầu</x:v>
      </x:c>
      <x:c r="D62" s="12" t="str">
        <x:v>sửa máy tính Quận 7</x:v>
      </x:c>
      <x:c r="E62" s="12" t="str">
        <x:v>/pages/sua-may-tinh-quan-7</x:v>
      </x:c>
      <x:c r="F62" s="12" t="str">
        <x:v>Đẩy target chính</x:v>
      </x:c>
      <x:c r="G62" s="12" t="str">
        <x:v>A1</x:v>
      </x:c>
      <x:c r="H62" s="12" t="str">
        <x:v>Không spam anchor; đặt tự nhiên trong câu.</x:v>
      </x:c>
    </x:row>
    <x:row r="63">
      <x:c r="A63" s="12" t="str">
        <x:v>BLG-031</x:v>
      </x:c>
      <x:c r="B63" s="12" t="str">
        <x:v>Sửa Máy Tính Quận 7: Kiểm Tra, Cài Đặt, Nâng Cấp PC/Laptop Tại Sintech</x:v>
      </x:c>
      <x:c r="C63" s="12" t="str">
        <x:v>Giữa bài hoặc CTA cuối</x:v>
      </x:c>
      <x:c r="D63" s="12" t="str">
        <x:v>liên hệ Sintech Quận 7</x:v>
      </x:c>
      <x:c r="E63" s="12" t="str">
        <x:v>/pages/lien-he</x:v>
      </x:c>
      <x:c r="F63" s="12" t="str">
        <x:v>Tạo mạng liên kết nội bộ hỗ trợ topical authority</x:v>
      </x:c>
      <x:c r="G63" s="12" t="str">
        <x:v>A1</x:v>
      </x:c>
      <x:c r="H63" s="12" t="str">
        <x:v>Dùng anchor phụ để tránh trùng lặp.</x:v>
      </x:c>
    </x:row>
    <x:row r="64">
      <x:c r="A64" s="12" t="str">
        <x:v>BLG-032</x:v>
      </x:c>
      <x:c r="B64" s="12" t="str">
        <x:v>Sửa Laptop Quận 7: Khi Nào Nên Mang Máy Đi Kiểm Tra?</x:v>
      </x:c>
      <x:c r="C64" s="12" t="str">
        <x:v>Đoạn mở bài hoặc sau H2 đầu</x:v>
      </x:c>
      <x:c r="D64" s="12" t="str">
        <x:v>sửa laptop Quận 7</x:v>
      </x:c>
      <x:c r="E64" s="12" t="str">
        <x:v>/pages/sua-laptop-quan-7</x:v>
      </x:c>
      <x:c r="F64" s="12" t="str">
        <x:v>Đẩy target chính</x:v>
      </x:c>
      <x:c r="G64" s="12" t="str">
        <x:v>A2</x:v>
      </x:c>
      <x:c r="H64" s="12" t="str">
        <x:v>Không spam anchor; đặt tự nhiên trong câu.</x:v>
      </x:c>
    </x:row>
    <x:row r="65">
      <x:c r="A65" s="12" t="str">
        <x:v>BLG-032</x:v>
      </x:c>
      <x:c r="B65" s="12" t="str">
        <x:v>Sửa Laptop Quận 7: Khi Nào Nên Mang Máy Đi Kiểm Tra?</x:v>
      </x:c>
      <x:c r="C65" s="12" t="str">
        <x:v>Giữa bài hoặc CTA cuối</x:v>
      </x:c>
      <x:c r="D65" s="12" t="str">
        <x:v>liên hệ Sintech Quận 7</x:v>
      </x:c>
      <x:c r="E65" s="12" t="str">
        <x:v>/pages/lien-he</x:v>
      </x:c>
      <x:c r="F65" s="12" t="str">
        <x:v>Tạo mạng liên kết nội bộ hỗ trợ topical authority</x:v>
      </x:c>
      <x:c r="G65" s="12" t="str">
        <x:v>A2</x:v>
      </x:c>
      <x:c r="H65" s="12" t="str">
        <x:v>Dùng anchor phụ để tránh trùng lặp.</x:v>
      </x:c>
    </x:row>
    <x:row r="66">
      <x:c r="A66" s="12" t="str">
        <x:v>BLG-033</x:v>
      </x:c>
      <x:c r="B66" s="12" t="str">
        <x:v>Vệ Sinh Laptop Quận 7: Bao Lâu Nên Vệ Sinh Và Thay Keo Tản Nhiệt?</x:v>
      </x:c>
      <x:c r="C66" s="12" t="str">
        <x:v>Đoạn mở bài hoặc sau H2 đầu</x:v>
      </x:c>
      <x:c r="D66" s="12" t="str">
        <x:v>vệ sinh laptop Quận 7</x:v>
      </x:c>
      <x:c r="E66" s="12" t="str">
        <x:v>/pages/ve-sinh-laptop</x:v>
      </x:c>
      <x:c r="F66" s="12" t="str">
        <x:v>Đẩy target chính</x:v>
      </x:c>
      <x:c r="G66" s="12" t="str">
        <x:v>A2</x:v>
      </x:c>
      <x:c r="H66" s="12" t="str">
        <x:v>Không spam anchor; đặt tự nhiên trong câu.</x:v>
      </x:c>
    </x:row>
    <x:row r="67">
      <x:c r="A67" s="12" t="str">
        <x:v>BLG-033</x:v>
      </x:c>
      <x:c r="B67" s="12" t="str">
        <x:v>Vệ Sinh Laptop Quận 7: Bao Lâu Nên Vệ Sinh Và Thay Keo Tản Nhiệt?</x:v>
      </x:c>
      <x:c r="C67" s="12" t="str">
        <x:v>Giữa bài hoặc CTA cuối</x:v>
      </x:c>
      <x:c r="D67" s="12" t="str">
        <x:v>liên hệ Sintech Quận 7</x:v>
      </x:c>
      <x:c r="E67" s="12" t="str">
        <x:v>/pages/lien-he</x:v>
      </x:c>
      <x:c r="F67" s="12" t="str">
        <x:v>Tạo mạng liên kết nội bộ hỗ trợ topical authority</x:v>
      </x:c>
      <x:c r="G67" s="12" t="str">
        <x:v>A2</x:v>
      </x:c>
      <x:c r="H67" s="12" t="str">
        <x:v>Dùng anchor phụ để tránh trùng lặp.</x:v>
      </x:c>
    </x:row>
    <x:row r="68">
      <x:c r="A68" s="12" t="str">
        <x:v>BLG-034</x:v>
      </x:c>
      <x:c r="B68" s="12" t="str">
        <x:v>Vệ Sinh PC Tại Quận 7: Dấu Hiệu Máy Cần Bảo Dưỡng Ngay</x:v>
      </x:c>
      <x:c r="C68" s="12" t="str">
        <x:v>Đoạn mở bài hoặc sau H2 đầu</x:v>
      </x:c>
      <x:c r="D68" s="12" t="str">
        <x:v>vệ sinh PC Quận 7</x:v>
      </x:c>
      <x:c r="E68" s="12" t="str">
        <x:v>/pages/ve-sinh-pc-tai-cua-hang</x:v>
      </x:c>
      <x:c r="F68" s="12" t="str">
        <x:v>Đẩy target chính</x:v>
      </x:c>
      <x:c r="G68" s="12" t="str">
        <x:v>A2</x:v>
      </x:c>
      <x:c r="H68" s="12" t="str">
        <x:v>Không spam anchor; đặt tự nhiên trong câu.</x:v>
      </x:c>
    </x:row>
    <x:row r="69">
      <x:c r="A69" s="12" t="str">
        <x:v>BLG-034</x:v>
      </x:c>
      <x:c r="B69" s="12" t="str">
        <x:v>Vệ Sinh PC Tại Quận 7: Dấu Hiệu Máy Cần Bảo Dưỡng Ngay</x:v>
      </x:c>
      <x:c r="C69" s="12" t="str">
        <x:v>Giữa bài hoặc CTA cuối</x:v>
      </x:c>
      <x:c r="D69" s="12" t="str">
        <x:v>liên hệ Sintech Quận 7</x:v>
      </x:c>
      <x:c r="E69" s="12" t="str">
        <x:v>/pages/lien-he</x:v>
      </x:c>
      <x:c r="F69" s="12" t="str">
        <x:v>Tạo mạng liên kết nội bộ hỗ trợ topical authority</x:v>
      </x:c>
      <x:c r="G69" s="12" t="str">
        <x:v>A2</x:v>
      </x:c>
      <x:c r="H69" s="12" t="str">
        <x:v>Dùng anchor phụ để tránh trùng lặp.</x:v>
      </x:c>
    </x:row>
    <x:row r="70">
      <x:c r="A70" s="12" t="str">
        <x:v>BLG-035</x:v>
      </x:c>
      <x:c r="B70" s="12" t="str">
        <x:v>Cài Windows Và Phần Mềm Tại Quận 7: Khi Nào Nên Cài Lại Máy?</x:v>
      </x:c>
      <x:c r="C70" s="12" t="str">
        <x:v>Đoạn mở bài hoặc sau H2 đầu</x:v>
      </x:c>
      <x:c r="D70" s="12" t="str">
        <x:v>cài Windows Quận 7</x:v>
      </x:c>
      <x:c r="E70" s="12" t="str">
        <x:v>/pages/cai-dat-windows-phan-mem</x:v>
      </x:c>
      <x:c r="F70" s="12" t="str">
        <x:v>Đẩy target chính</x:v>
      </x:c>
      <x:c r="G70" s="12" t="str">
        <x:v>B</x:v>
      </x:c>
      <x:c r="H70" s="12" t="str">
        <x:v>Không spam anchor; đặt tự nhiên trong câu.</x:v>
      </x:c>
    </x:row>
    <x:row r="71">
      <x:c r="A71" s="12" t="str">
        <x:v>BLG-035</x:v>
      </x:c>
      <x:c r="B71" s="12" t="str">
        <x:v>Cài Windows Và Phần Mềm Tại Quận 7: Khi Nào Nên Cài Lại Máy?</x:v>
      </x:c>
      <x:c r="C71" s="12" t="str">
        <x:v>Giữa bài hoặc CTA cuối</x:v>
      </x:c>
      <x:c r="D71" s="12" t="str">
        <x:v>liên hệ Sintech Quận 7</x:v>
      </x:c>
      <x:c r="E71" s="12" t="str">
        <x:v>/pages/lien-he</x:v>
      </x:c>
      <x:c r="F71" s="12" t="str">
        <x:v>Tạo mạng liên kết nội bộ hỗ trợ topical authority</x:v>
      </x:c>
      <x:c r="G71" s="12" t="str">
        <x:v>B</x:v>
      </x:c>
      <x:c r="H71" s="12" t="str">
        <x:v>Dùng anchor phụ để tránh trùng lặp.</x:v>
      </x:c>
    </x:row>
    <x:row r="72">
      <x:c r="A72" s="12" t="str">
        <x:v>BLG-036</x:v>
      </x:c>
      <x:c r="B72" s="12" t="str">
        <x:v>Máy Tính Bị Rò Điện Có Nguy Hiểm Không? Nguyên Nhân Và Cách Xử Lý</x:v>
      </x:c>
      <x:c r="C72" s="12" t="str">
        <x:v>Đoạn mở bài hoặc sau H2 đầu</x:v>
      </x:c>
      <x:c r="D72" s="12" t="str">
        <x:v>sửa máy tính Quận 7</x:v>
      </x:c>
      <x:c r="E72" s="12" t="str">
        <x:v>/pages/sua-may-tinh-quan-7</x:v>
      </x:c>
      <x:c r="F72" s="12" t="str">
        <x:v>Đẩy target chính</x:v>
      </x:c>
      <x:c r="G72" s="12" t="str">
        <x:v>B</x:v>
      </x:c>
      <x:c r="H72" s="12" t="str">
        <x:v>Không spam anchor; đặt tự nhiên trong câu.</x:v>
      </x:c>
    </x:row>
    <x:row r="73">
      <x:c r="A73" s="12" t="str">
        <x:v>BLG-036</x:v>
      </x:c>
      <x:c r="B73" s="12" t="str">
        <x:v>Máy Tính Bị Rò Điện Có Nguy Hiểm Không? Nguyên Nhân Và Cách Xử Lý</x:v>
      </x:c>
      <x:c r="C73" s="12" t="str">
        <x:v>Giữa bài hoặc CTA cuối</x:v>
      </x:c>
      <x:c r="D73" s="12" t="str">
        <x:v>build PC gaming</x:v>
      </x:c>
      <x:c r="E73" s="12" t="str">
        <x:v>/pages/xay-dung-cau-hinh</x:v>
      </x:c>
      <x:c r="F73" s="12" t="str">
        <x:v>Tạo mạng liên kết nội bộ hỗ trợ topical authority</x:v>
      </x:c>
      <x:c r="G73" s="12" t="str">
        <x:v>B</x:v>
      </x:c>
      <x:c r="H73" s="12" t="str">
        <x:v>Dùng anchor phụ để tránh trùng lặp.</x:v>
      </x:c>
    </x:row>
    <x:row r="74">
      <x:c r="A74" s="12" t="str">
        <x:v>BLG-037</x:v>
      </x:c>
      <x:c r="B74" s="12" t="str">
        <x:v>CS2 Là Gì? Cấu Hình Chơi Counter-Strike 2 Mượt Trên PC</x:v>
      </x:c>
      <x:c r="C74" s="12" t="str">
        <x:v>Đoạn mở bài hoặc sau H2 đầu</x:v>
      </x:c>
      <x:c r="D74" s="12" t="str">
        <x:v>build PC chơi CS2</x:v>
      </x:c>
      <x:c r="E74" s="12" t="str">
        <x:v>/pages/xay-dung-cau-hinh</x:v>
      </x:c>
      <x:c r="F74" s="12" t="str">
        <x:v>Đẩy target chính</x:v>
      </x:c>
      <x:c r="G74" s="12" t="str">
        <x:v>B</x:v>
      </x:c>
      <x:c r="H74" s="12" t="str">
        <x:v>Không spam anchor; đặt tự nhiên trong câu.</x:v>
      </x:c>
    </x:row>
    <x:row r="75">
      <x:c r="A75" s="12" t="str">
        <x:v>BLG-037</x:v>
      </x:c>
      <x:c r="B75" s="12" t="str">
        <x:v>CS2 Là Gì? Cấu Hình Chơi Counter-Strike 2 Mượt Trên PC</x:v>
      </x:c>
      <x:c r="C75" s="12" t="str">
        <x:v>Giữa bài hoặc CTA cuối</x:v>
      </x:c>
      <x:c r="D75" s="12" t="str">
        <x:v>build PC gaming</x:v>
      </x:c>
      <x:c r="E75" s="12" t="str">
        <x:v>/pages/xay-dung-cau-hinh</x:v>
      </x:c>
      <x:c r="F75" s="12" t="str">
        <x:v>Tạo mạng liên kết nội bộ hỗ trợ topical authority</x:v>
      </x:c>
      <x:c r="G75" s="12" t="str">
        <x:v>B</x:v>
      </x:c>
      <x:c r="H75" s="12" t="str">
        <x:v>Dùng anchor phụ để tránh trùng lặp.</x:v>
      </x:c>
    </x:row>
    <x:row r="76">
      <x:c r="A76" s="12" t="str">
        <x:v>BLG-038</x:v>
      </x:c>
      <x:c r="B76" s="12" t="str">
        <x:v>Cấu Hình Chơi Palworld Trên PC: Tối Thiểu, Đề Nghị Và Gợi Ý Nâng Cấp</x:v>
      </x:c>
      <x:c r="C76" s="12" t="str">
        <x:v>Đoạn mở bài hoặc sau H2 đầu</x:v>
      </x:c>
      <x:c r="D76" s="12" t="str">
        <x:v>cấu hình chơi Palworld</x:v>
      </x:c>
      <x:c r="E76" s="12" t="str">
        <x:v>/pages/xay-dung-cau-hinh</x:v>
      </x:c>
      <x:c r="F76" s="12" t="str">
        <x:v>Đẩy target chính</x:v>
      </x:c>
      <x:c r="G76" s="12" t="str">
        <x:v>B</x:v>
      </x:c>
      <x:c r="H76" s="12" t="str">
        <x:v>Không spam anchor; đặt tự nhiên trong câu.</x:v>
      </x:c>
    </x:row>
    <x:row r="77">
      <x:c r="A77" s="12" t="str">
        <x:v>BLG-038</x:v>
      </x:c>
      <x:c r="B77" s="12" t="str">
        <x:v>Cấu Hình Chơi Palworld Trên PC: Tối Thiểu, Đề Nghị Và Gợi Ý Nâng Cấp</x:v>
      </x:c>
      <x:c r="C77" s="12" t="str">
        <x:v>Giữa bài hoặc CTA cuối</x:v>
      </x:c>
      <x:c r="D77" s="12" t="str">
        <x:v>build PC gaming</x:v>
      </x:c>
      <x:c r="E77" s="12" t="str">
        <x:v>/pages/xay-dung-cau-hinh</x:v>
      </x:c>
      <x:c r="F77" s="12" t="str">
        <x:v>Tạo mạng liên kết nội bộ hỗ trợ topical authority</x:v>
      </x:c>
      <x:c r="G77" s="12" t="str">
        <x:v>B</x:v>
      </x:c>
      <x:c r="H77" s="12" t="str">
        <x:v>Dùng anchor phụ để tránh trùng lặp.</x:v>
      </x:c>
    </x:row>
    <x:row r="78">
      <x:c r="A78" s="12" t="str">
        <x:v>BLG-039</x:v>
      </x:c>
      <x:c r="B78" s="12" t="str">
        <x:v>ZZZ Bao Nhiêu GB Trên PC? Cấu Hình Chơi Zenless Zone Zero Mượt</x:v>
      </x:c>
      <x:c r="C78" s="12" t="str">
        <x:v>Đoạn mở bài hoặc sau H2 đầu</x:v>
      </x:c>
      <x:c r="D78" s="12" t="str">
        <x:v>cấu hình chơi ZZZ</x:v>
      </x:c>
      <x:c r="E78" s="12" t="str">
        <x:v>/pages/xay-dung-cau-hinh</x:v>
      </x:c>
      <x:c r="F78" s="12" t="str">
        <x:v>Đẩy target chính</x:v>
      </x:c>
      <x:c r="G78" s="12" t="str">
        <x:v>C</x:v>
      </x:c>
      <x:c r="H78" s="12" t="str">
        <x:v>Không spam anchor; đặt tự nhiên trong câu.</x:v>
      </x:c>
    </x:row>
    <x:row r="79">
      <x:c r="A79" s="12" t="str">
        <x:v>BLG-039</x:v>
      </x:c>
      <x:c r="B79" s="12" t="str">
        <x:v>ZZZ Bao Nhiêu GB Trên PC? Cấu Hình Chơi Zenless Zone Zero Mượt</x:v>
      </x:c>
      <x:c r="C79" s="12" t="str">
        <x:v>Giữa bài hoặc CTA cuối</x:v>
      </x:c>
      <x:c r="D79" s="12" t="str">
        <x:v>build PC gaming</x:v>
      </x:c>
      <x:c r="E79" s="12" t="str">
        <x:v>/pages/xay-dung-cau-hinh</x:v>
      </x:c>
      <x:c r="F79" s="12" t="str">
        <x:v>Tạo mạng liên kết nội bộ hỗ trợ topical authority</x:v>
      </x:c>
      <x:c r="G79" s="12" t="str">
        <x:v>C</x:v>
      </x:c>
      <x:c r="H79" s="12" t="str">
        <x:v>Dùng anchor phụ để tránh trùng lặp.</x:v>
      </x:c>
    </x:row>
    <x:row r="80">
      <x:c r="A80" s="12" t="str">
        <x:v>BLG-040</x:v>
      </x:c>
      <x:c r="B80" s="12" t="str">
        <x:v>Thu Mua PC Cũ TPHCM: Quy Trình Kiểm Tra, Định Giá Và Nâng Cấp Lại Máy</x:v>
      </x:c>
      <x:c r="C80" s="12" t="str">
        <x:v>Đoạn mở bài hoặc sau H2 đầu</x:v>
      </x:c>
      <x:c r="D80" s="12" t="str">
        <x:v>thu mua PC cũ TPHCM</x:v>
      </x:c>
      <x:c r="E80" s="12" t="str">
        <x:v>/pages/thu-mua-pc-cu</x:v>
      </x:c>
      <x:c r="F80" s="12" t="str">
        <x:v>Đẩy target chính</x:v>
      </x:c>
      <x:c r="G80" s="12" t="str">
        <x:v>B</x:v>
      </x:c>
      <x:c r="H80" s="12" t="str">
        <x:v>Không spam anchor; đặt tự nhiên trong câu.</x:v>
      </x:c>
    </x:row>
    <x:row r="81">
      <x:c r="A81" s="12" t="str">
        <x:v>BLG-040</x:v>
      </x:c>
      <x:c r="B81" s="12" t="str">
        <x:v>Thu Mua PC Cũ TPHCM: Quy Trình Kiểm Tra, Định Giá Và Nâng Cấp Lại Máy</x:v>
      </x:c>
      <x:c r="C81" s="12" t="str">
        <x:v>Giữa bài hoặc CTA cuối</x:v>
      </x:c>
      <x:c r="D81" s="12" t="str">
        <x:v>liên hệ Sintech Quận 7</x:v>
      </x:c>
      <x:c r="E81" s="12" t="str">
        <x:v>/pages/lien-he</x:v>
      </x:c>
      <x:c r="F81" s="12" t="str">
        <x:v>Tạo mạng liên kết nội bộ hỗ trợ topical authority</x:v>
      </x:c>
      <x:c r="G81" s="12" t="str">
        <x:v>B</x:v>
      </x:c>
      <x:c r="H81" s="12" t="str">
        <x:v>Dùng anchor phụ để tránh trùng lặp.</x:v>
      </x:c>
    </x:row>
  </x:sheetData>
  <x:conditionalFormatting sqref="G2:G81">
    <x:cfRule type="expression" dxfId="5" priority="1">
      <x:formula>$G2="A1"</x:formula>
    </x:cfRule>
    <x:cfRule type="expression" dxfId="6" priority="2">
      <x:formula>$G2="A2"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a2638cebfa48d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2" hidden="0" customWidth="1"/>
    <x:col min="4" max="4" width="12" hidden="0" customWidth="1"/>
    <x:col min="5" max="5" width="32" hidden="0" customWidth="1"/>
    <x:col min="6" max="6" width="18" hidden="0" customWidth="1"/>
    <x:col min="7" max="7" width="18" hidden="0" customWidth="1"/>
    <x:col min="8" max="8" width="10" hidden="0" customWidth="1"/>
    <x:col min="9" max="9" width="10" hidden="0" customWidth="1"/>
    <x:col min="10" max="10" width="34" hidden="0" customWidth="1"/>
    <x:col min="11" max="11" width="34" hidden="0" customWidth="1"/>
    <x:col min="12" max="12" width="42" hidden="0" customWidth="1"/>
  </x:cols>
  <x:sheetData>
    <x:row r="1">
      <x:c r="A1" s="6" t="str">
        <x:v>Tuần</x:v>
      </x:c>
      <x:c r="B1" s="6" t="str">
        <x:v>Khoảng ngày</x:v>
      </x:c>
      <x:c r="C1" s="6" t="str">
        <x:v>Bài planned</x:v>
      </x:c>
      <x:c r="D1" s="6" t="str">
        <x:v>Bài đã đăng</x:v>
      </x:c>
      <x:c r="E1" s="6" t="str">
        <x:v>Cụm trọng tâm</x:v>
      </x:c>
      <x:c r="F1" s="6" t="str">
        <x:v>GSC clicks sau 14-28 ngày</x:v>
      </x:c>
      <x:c r="G1" s="6" t="str">
        <x:v>GSC impressions</x:v>
      </x:c>
      <x:c r="H1" s="6" t="str">
        <x:v>CTR</x:v>
      </x:c>
      <x:c r="I1" s="6" t="str">
        <x:v>Vị trí TB</x:v>
      </x:c>
      <x:c r="J1" s="6" t="str">
        <x:v>Key/URL thắng</x:v>
      </x:c>
      <x:c r="K1" s="6" t="str">
        <x:v>Vấn đề</x:v>
      </x:c>
      <x:c r="L1" s="6" t="str">
        <x:v>Hành động tiếp theo</x:v>
      </x:c>
    </x:row>
    <x:row r="2">
      <x:c r="A2" s="12" t="n">
        <x:v>1</x:v>
      </x:c>
      <x:c r="B2" s="12" t="str">
        <x:v>19/06/2026 - 25/06/2026</x:v>
      </x:c>
      <x:c r="C2" s="12" t="n">
        <x:f>COUNTIF('Blog Roadmap'!C:C,A2)</x:f>
        <x:v>2</x:v>
      </x:c>
      <x:c r="D2" s="12" t="str"/>
      <x:c r="E2" s="12" t="str">
        <x:v>Build PC</x:v>
      </x:c>
      <x:c r="F2" s="12" t="str"/>
      <x:c r="G2" s="12" t="str"/>
      <x:c r="H2" s="16" t="str">
        <x:f>IFERROR(F2/G2,"")</x:f>
      </x:c>
      <x:c r="I2" s="12" t="str"/>
      <x:c r="J2" s="12" t="str"/>
      <x:c r="K2" s="12" t="str"/>
      <x:c r="L2" s="12" t="str"/>
    </x:row>
    <x:row r="3">
      <x:c r="A3" s="12" t="n">
        <x:v>2</x:v>
      </x:c>
      <x:c r="B3" s="12" t="str">
        <x:v>26/06/2026 - 02/07/2026</x:v>
      </x:c>
      <x:c r="C3" s="12" t="n">
        <x:f>COUNTIF('Blog Roadmap'!C:C,A3)</x:f>
        <x:v>3</x:v>
      </x:c>
      <x:c r="D3" s="12" t="str"/>
      <x:c r="E3" s="12" t="str">
        <x:v>Build PC</x:v>
      </x:c>
      <x:c r="F3" s="12" t="str"/>
      <x:c r="G3" s="12" t="str"/>
      <x:c r="H3" s="16" t="str">
        <x:f>IFERROR(F3/G3,"")</x:f>
      </x:c>
      <x:c r="I3" s="12" t="str"/>
      <x:c r="J3" s="12" t="str"/>
      <x:c r="K3" s="12" t="str"/>
      <x:c r="L3" s="12" t="str"/>
    </x:row>
    <x:row r="4">
      <x:c r="A4" s="12" t="n">
        <x:v>3</x:v>
      </x:c>
      <x:c r="B4" s="12" t="str">
        <x:v>03/07/2026 - 09/07/2026</x:v>
      </x:c>
      <x:c r="C4" s="12" t="n">
        <x:f>COUNTIF('Blog Roadmap'!C:C,A4)</x:f>
        <x:v>4</x:v>
      </x:c>
      <x:c r="D4" s="12" t="str"/>
      <x:c r="E4" s="12" t="str">
        <x:v>Build PC, Linh kiện cũ</x:v>
      </x:c>
      <x:c r="F4" s="12" t="str"/>
      <x:c r="G4" s="12" t="str"/>
      <x:c r="H4" s="16" t="str">
        <x:f>IFERROR(F4/G4,"")</x:f>
      </x:c>
      <x:c r="I4" s="12" t="str"/>
      <x:c r="J4" s="12" t="str"/>
      <x:c r="K4" s="12" t="str"/>
      <x:c r="L4" s="12" t="str"/>
    </x:row>
    <x:row r="5">
      <x:c r="A5" s="12" t="n">
        <x:v>4</x:v>
      </x:c>
      <x:c r="B5" s="12" t="str">
        <x:v>10/07/2026 - 16/07/2026</x:v>
      </x:c>
      <x:c r="C5" s="12" t="n">
        <x:f>COUNTIF('Blog Roadmap'!C:C,A5)</x:f>
        <x:v>4</x:v>
      </x:c>
      <x:c r="D5" s="12" t="str"/>
      <x:c r="E5" s="12" t="str">
        <x:v>Build PC, Linh kiện cũ</x:v>
      </x:c>
      <x:c r="F5" s="12" t="str"/>
      <x:c r="G5" s="12" t="str"/>
      <x:c r="H5" s="16" t="str">
        <x:f>IFERROR(F5/G5,"")</x:f>
      </x:c>
      <x:c r="I5" s="12" t="str"/>
      <x:c r="J5" s="12" t="str"/>
      <x:c r="K5" s="12" t="str"/>
      <x:c r="L5" s="12" t="str"/>
    </x:row>
    <x:row r="6">
      <x:c r="A6" s="12" t="n">
        <x:v>5</x:v>
      </x:c>
      <x:c r="B6" s="12" t="str">
        <x:v>17/07/2026 - 23/07/2026</x:v>
      </x:c>
      <x:c r="C6" s="12" t="n">
        <x:f>COUNTIF('Blog Roadmap'!C:C,A6)</x:f>
        <x:v>5</x:v>
      </x:c>
      <x:c r="D6" s="12" t="str"/>
      <x:c r="E6" s="12" t="str">
        <x:v>Build PC, Linh kiện cũ</x:v>
      </x:c>
      <x:c r="F6" s="12" t="str"/>
      <x:c r="G6" s="12" t="str"/>
      <x:c r="H6" s="16" t="str">
        <x:f>IFERROR(F6/G6,"")</x:f>
      </x:c>
      <x:c r="I6" s="12" t="str"/>
      <x:c r="J6" s="12" t="str"/>
      <x:c r="K6" s="12" t="str"/>
      <x:c r="L6" s="12" t="str"/>
    </x:row>
    <x:row r="7">
      <x:c r="A7" s="12" t="n">
        <x:v>6</x:v>
      </x:c>
      <x:c r="B7" s="12" t="str">
        <x:v>24/07/2026 - 30/07/2026</x:v>
      </x:c>
      <x:c r="C7" s="12" t="n">
        <x:f>COUNTIF('Blog Roadmap'!C:C,A7)</x:f>
        <x:v>3</x:v>
      </x:c>
      <x:c r="D7" s="12" t="str"/>
      <x:c r="E7" s="12" t="str">
        <x:v>Linh kiện cũ</x:v>
      </x:c>
      <x:c r="F7" s="12" t="str"/>
      <x:c r="G7" s="12" t="str"/>
      <x:c r="H7" s="16" t="str">
        <x:f>IFERROR(F7/G7,"")</x:f>
      </x:c>
      <x:c r="I7" s="12" t="str"/>
      <x:c r="J7" s="12" t="str"/>
      <x:c r="K7" s="12" t="str"/>
      <x:c r="L7" s="12" t="str"/>
    </x:row>
    <x:row r="8">
      <x:c r="A8" s="12" t="n">
        <x:v>7</x:v>
      </x:c>
      <x:c r="B8" s="12" t="str">
        <x:v>31/07/2026 - 06/08/2026</x:v>
      </x:c>
      <x:c r="C8" s="12" t="n">
        <x:f>COUNTIF('Blog Roadmap'!C:C,A8)</x:f>
        <x:v>3</x:v>
      </x:c>
      <x:c r="D8" s="12" t="str"/>
      <x:c r="E8" s="12" t="str">
        <x:v>Linh kiện cũ, Phần mềm bản quyền</x:v>
      </x:c>
      <x:c r="F8" s="12" t="str"/>
      <x:c r="G8" s="12" t="str"/>
      <x:c r="H8" s="16" t="str">
        <x:f>IFERROR(F8/G8,"")</x:f>
      </x:c>
      <x:c r="I8" s="12" t="str"/>
      <x:c r="J8" s="12" t="str"/>
      <x:c r="K8" s="12" t="str"/>
      <x:c r="L8" s="12" t="str"/>
    </x:row>
    <x:row r="9">
      <x:c r="A9" s="12" t="n">
        <x:v>8</x:v>
      </x:c>
      <x:c r="B9" s="12" t="str">
        <x:v>07/08/2026 - 13/08/2026</x:v>
      </x:c>
      <x:c r="C9" s="12" t="n">
        <x:f>COUNTIF('Blog Roadmap'!C:C,A9)</x:f>
        <x:v>3</x:v>
      </x:c>
      <x:c r="D9" s="12" t="str"/>
      <x:c r="E9" s="12" t="str">
        <x:v>Phần mềm bản quyền</x:v>
      </x:c>
      <x:c r="F9" s="12" t="str"/>
      <x:c r="G9" s="12" t="str"/>
      <x:c r="H9" s="16" t="str">
        <x:f>IFERROR(F9/G9,"")</x:f>
      </x:c>
      <x:c r="I9" s="12" t="str"/>
      <x:c r="J9" s="12" t="str"/>
      <x:c r="K9" s="12" t="str"/>
      <x:c r="L9" s="12" t="str"/>
    </x:row>
    <x:row r="10">
      <x:c r="A10" s="12" t="n">
        <x:v>9</x:v>
      </x:c>
      <x:c r="B10" s="12" t="str">
        <x:v>14/08/2026 - 20/08/2026</x:v>
      </x:c>
      <x:c r="C10" s="12" t="n">
        <x:f>COUNTIF('Blog Roadmap'!C:C,A10)</x:f>
        <x:v>4</x:v>
      </x:c>
      <x:c r="D10" s="12" t="str"/>
      <x:c r="E10" s="12" t="str">
        <x:v>Dịch vụ Quận 7, Phần mềm bản quyền</x:v>
      </x:c>
      <x:c r="F10" s="12" t="str"/>
      <x:c r="G10" s="12" t="str"/>
      <x:c r="H10" s="16" t="str">
        <x:f>IFERROR(F10/G10,"")</x:f>
      </x:c>
      <x:c r="I10" s="12" t="str"/>
      <x:c r="J10" s="12" t="str"/>
      <x:c r="K10" s="12" t="str"/>
      <x:c r="L10" s="12" t="str"/>
    </x:row>
    <x:row r="11">
      <x:c r="A11" s="12" t="n">
        <x:v>10</x:v>
      </x:c>
      <x:c r="B11" s="12" t="str">
        <x:v>21/08/2026 - 27/08/2026</x:v>
      </x:c>
      <x:c r="C11" s="12" t="n">
        <x:f>COUNTIF('Blog Roadmap'!C:C,A11)</x:f>
        <x:v>4</x:v>
      </x:c>
      <x:c r="D11" s="12" t="str"/>
      <x:c r="E11" s="12" t="str">
        <x:v>Dịch vụ Quận 7, Phần mềm bản quyền</x:v>
      </x:c>
      <x:c r="F11" s="12" t="str"/>
      <x:c r="G11" s="12" t="str"/>
      <x:c r="H11" s="16" t="str">
        <x:f>IFERROR(F11/G11,"")</x:f>
      </x:c>
      <x:c r="I11" s="12" t="str"/>
      <x:c r="J11" s="12" t="str"/>
      <x:c r="K11" s="12" t="str"/>
      <x:c r="L11" s="12" t="str"/>
    </x:row>
    <x:row r="12">
      <x:c r="A12" s="12" t="n">
        <x:v>11</x:v>
      </x:c>
      <x:c r="B12" s="12" t="str">
        <x:v>28/08/2026 - 03/09/2026</x:v>
      </x:c>
      <x:c r="C12" s="12" t="n">
        <x:f>COUNTIF('Blog Roadmap'!C:C,A12)</x:f>
        <x:v>3</x:v>
      </x:c>
      <x:c r="D12" s="12" t="str"/>
      <x:c r="E12" s="12" t="str">
        <x:v>Kỹ thuật/Gaming hỗ trợ</x:v>
      </x:c>
      <x:c r="F12" s="12" t="str"/>
      <x:c r="G12" s="12" t="str"/>
      <x:c r="H12" s="16" t="str">
        <x:f>IFERROR(F12/G12,"")</x:f>
      </x:c>
      <x:c r="I12" s="12" t="str"/>
      <x:c r="J12" s="12" t="str"/>
      <x:c r="K12" s="12" t="str"/>
      <x:c r="L12" s="12" t="str"/>
    </x:row>
    <x:row r="13">
      <x:c r="A13" s="12" t="n">
        <x:v>12</x:v>
      </x:c>
      <x:c r="B13" s="12" t="str">
        <x:v>04/09/2026 - 10/09/2026</x:v>
      </x:c>
      <x:c r="C13" s="12" t="n">
        <x:f>COUNTIF('Blog Roadmap'!C:C,A13)</x:f>
        <x:v>2</x:v>
      </x:c>
      <x:c r="D13" s="12" t="str"/>
      <x:c r="E13" s="12" t="str">
        <x:v>Dịch vụ Quận 7, Kỹ thuật/Gaming hỗ trợ</x:v>
      </x:c>
      <x:c r="F13" s="12" t="str"/>
      <x:c r="G13" s="12" t="str"/>
      <x:c r="H13" s="16" t="str">
        <x:f>IFERROR(F13/G13,"")</x:f>
      </x:c>
      <x:c r="I13" s="12" t="str"/>
      <x:c r="J13" s="12" t="str"/>
      <x:c r="K13" s="12" t="str"/>
      <x:c r="L13" s="12" t="str"/>
    </x:row>
  </x:sheetData>
  <x:pageMargins left="0.7" right="0.7" top="0.75" bottom="0.75" header="0.3" footer="0.3"/>
  <x:tableParts count="1">
    <x:tablePart xmlns:r="http://schemas.openxmlformats.org/officeDocument/2006/relationships" r:id="Rd55764da72b34c1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  <x:col min="3" max="3" width="60" hidden="0" customWidth="1"/>
  </x:cols>
  <x:sheetData>
    <x:row r="1">
      <x:c r="A1" s="6" t="str">
        <x:v>Loại</x:v>
      </x:c>
      <x:c r="B1" s="6" t="str">
        <x:v>Thông tin</x:v>
      </x:c>
      <x:c r="C1" s="6" t="str">
        <x:v>Ghi chú</x:v>
      </x:c>
    </x:row>
    <x:row r="2">
      <x:c r="A2" s="12" t="str">
        <x:v>Nguồn dữ liệu</x:v>
      </x:c>
      <x:c r="B2" s="12" t="str">
        <x:v>GSC 16 tháng - file người dùng gửi trong cuộc trò chuyện</x:v>
      </x:c>
      <x:c r="C2" s="12" t="str">
        <x:v>Dùng để xác định nền SEO dài hạn, key từng mạnh và topic đã có tín hiệu.</x:v>
      </x:c>
    </x:row>
    <x:row r="3">
      <x:c r="A3" s="12" t="str">
        <x:v>Nguồn dữ liệu</x:v>
      </x:c>
      <x:c r="B3" s="12" t="str">
        <x:v>GSC 3 tháng - file người dùng gửi trong cuộc trò chuyện</x:v>
      </x:c>
      <x:c r="C3" s="12" t="str">
        <x:v>Dùng để xác định key đang nóng, key đang tụt và ưu tiên ngắn hạn.</x:v>
      </x:c>
    </x:row>
    <x:row r="4">
      <x:c r="A4" s="12" t="str">
        <x:v>Ngày lập kế hoạch</x:v>
      </x:c>
      <x:c r="B4" s="12" t="str">
        <x:v>16/06/2026</x:v>
      </x:c>
      <x:c r="C4" s="12" t="str">
        <x:v>Timezone Asia/Ho_Chi_Minh.</x:v>
      </x:c>
    </x:row>
    <x:row r="5">
      <x:c r="A5" s="12" t="str">
        <x:v>Nguyên tắc 1</x:v>
      </x:c>
      <x:c r="B5" s="12" t="str">
        <x:v>Không đổi URL /pages/xay-dung-cau-hinh</x:v>
      </x:c>
      <x:c r="C5" s="12" t="str">
        <x:v>Trang Build PC là tài sản SEO chính, cần bảo vệ tín hiệu.</x:v>
      </x:c>
    </x:row>
    <x:row r="6">
      <x:c r="A6" s="12" t="str">
        <x:v>Nguyên tắc 2</x:v>
      </x:c>
      <x:c r="B6" s="12" t="str">
        <x:v>Không viết hướng dẫn crack, active lậu, link tải lậu</x:v>
      </x:c>
      <x:c r="C6" s="12" t="str">
        <x:v>Chỉ chuyển traffic rủi ro sang nội dung cảnh báo và bản quyền.</x:v>
      </x:c>
    </x:row>
    <x:row r="7">
      <x:c r="A7" s="12" t="str">
        <x:v>Nguyên tắc 3</x:v>
      </x:c>
      <x:c r="B7" s="12" t="str">
        <x:v>Mỗi bài cần target URL rõ</x:v>
      </x:c>
      <x:c r="C7" s="12" t="str">
        <x:v>Không viết blog chỉ để có traffic; mỗi bài phải đẩy tool, collection hoặc dịch vụ.</x:v>
      </x:c>
    </x:row>
    <x:row r="8">
      <x:c r="A8" s="12" t="str">
        <x:v>Nguyên tắc 4</x:v>
      </x:c>
      <x:c r="B8" s="12" t="str">
        <x:v>Theo dõi sau 14, 28, 60 ngày</x:v>
      </x:c>
      <x:c r="C8" s="12" t="str">
        <x:v>Dựa GSC Page + Query để refresh.</x:v>
      </x:c>
    </x:row>
    <x:row r="9">
      <x:c r="A9" s="12" t="str">
        <x:v>Ưu tiên site</x:v>
      </x:c>
      <x:c r="B9" s="12" t="str">
        <x:v>Build PC → Linh kiện cũ → Phần mềm bản quyền → Local Quận 7 → Kỹ thuật/Gaming hỗ trợ</x:v>
      </x:c>
      <x:c r="C9" s="12" t="str">
        <x:v>Thứ tự tối ưu lợi ích SEO và khả năng ra đơn.</x:v>
      </x:c>
    </x:row>
  </x:sheetData>
  <x:pageMargins left="0.7" right="0.7" top="0.75" bottom="0.75" header="0.3" footer="0.3"/>
  <x:tableParts count="1">
    <x:tablePart xmlns:r="http://schemas.openxmlformats.org/officeDocument/2006/relationships" r:id="Rf69f3a30707c4ee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</x:cols>
  <x:sheetData>
    <x:row r="1">
      <x:c r="A1" s="4" t="str">
        <x:v>Priority</x:v>
      </x:c>
    </x:row>
    <x:row r="2">
      <x:c r="A2" s="12" t="str">
        <x:v>A1</x:v>
      </x:c>
    </x:row>
    <x:row r="3">
      <x:c r="A3" s="12" t="str">
        <x:v>A2</x:v>
      </x:c>
    </x:row>
    <x:row r="4">
      <x:c r="A4" s="12" t="str">
        <x:v>B</x:v>
      </x:c>
    </x:row>
    <x:row r="5">
      <x:c r="A5" s="12" t="str">
        <x:v>C</x:v>
      </x:c>
    </x:row>
    <x:row r="6">
      <x:c r="A6" s="12" t="str"/>
    </x:row>
    <x:row r="7">
      <x:c r="A7" s="4" t="str">
        <x:v>Status</x:v>
      </x:c>
    </x:row>
    <x:row r="8">
      <x:c r="A8" s="12" t="str">
        <x:v>Chưa viết</x:v>
      </x:c>
    </x:row>
    <x:row r="9">
      <x:c r="A9" s="12" t="str">
        <x:v>Đang viết</x:v>
      </x:c>
    </x:row>
    <x:row r="10">
      <x:c r="A10" s="12" t="str">
        <x:v>Đang review</x:v>
      </x:c>
    </x:row>
    <x:row r="11">
      <x:c r="A11" s="12" t="str">
        <x:v>Đã đăng</x:v>
      </x:c>
    </x:row>
    <x:row r="12">
      <x:c r="A12" s="12" t="str">
        <x:v>Cần refresh</x:v>
      </x:c>
    </x:row>
    <x:row r="13">
      <x:c r="A13" s="12" t="str">
        <x:v>Tạm hoãn</x:v>
      </x:c>
    </x:row>
    <x:row r="14">
      <x:c r="A14" s="12" t="str"/>
    </x:row>
    <x:row r="15">
      <x:c r="A15" s="4" t="str">
        <x:v>Cluster</x:v>
      </x:c>
    </x:row>
    <x:row r="16">
      <x:c r="A16" s="12" t="str">
        <x:v>Build PC</x:v>
      </x:c>
    </x:row>
    <x:row r="17">
      <x:c r="A17" s="12" t="str">
        <x:v>Linh kiện cũ</x:v>
      </x:c>
    </x:row>
    <x:row r="18">
      <x:c r="A18" s="12" t="str">
        <x:v>Phần mềm bản quyền</x:v>
      </x:c>
    </x:row>
    <x:row r="19">
      <x:c r="A19" s="12" t="str">
        <x:v>Dịch vụ Quận 7</x:v>
      </x:c>
    </x:row>
    <x:row r="20">
      <x:c r="A20" s="12" t="str">
        <x:v>Kỹ thuật/Gaming hỗ trợ</x:v>
      </x:c>
    </x:row>
    <x:row r="21">
      <x:c r="A21" s="12" t="str">
        <x:v>Không ưu tiên</x:v>
      </x:c>
    </x:row>
    <x:row r="22">
      <x:c r="A22" s="12"/>
    </x:row>
  </x:sheetData>
  <x:pageMargins left="0.7" right="0.7" top="0.75" bottom="0.75" header="0.3" footer="0.3"/>
</x:worksheet>
</file>